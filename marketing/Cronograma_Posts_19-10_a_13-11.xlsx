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mo usar" sheetId="1" state="visible" r:id="rId3"/>
    <sheet name="Cronograma" sheetId="2" state="visible" r:id="rId4"/>
    <sheet name="Calendário" sheetId="3" state="visible" r:id="rId5"/>
    <sheet name="Posts" sheetId="4" state="visible" r:id="rId6"/>
    <sheet name="Roteiros" sheetId="5" state="visible" r:id="rId7"/>
    <sheet name="Blocos" sheetId="6" state="visible" r:id="rId8"/>
    <sheet name="Validações" sheetId="7" state="visible" r:id="rId9"/>
    <sheet name="Listas" sheetId="8" state="visible" r:id="rId1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Segunda-feira da semana 1. Muda a coluna Semana e o calendário.</t>
        </r>
      </text>
    </comment>
    <comment ref="F2" authorId="0">
      <text>
        <r>
          <rPr>
            <sz val="10"/>
            <rFont val="Arial"/>
            <family val="2"/>
          </rPr>
          <t xml:space="preserve">Prazo para o roteiro ficar pronto, em dias úteis antes da publicação.</t>
        </r>
      </text>
    </comment>
    <comment ref="H2" authorId="0">
      <text>
        <r>
          <rPr>
            <sz val="10"/>
            <rFont val="Arial"/>
            <family val="2"/>
          </rPr>
          <t xml:space="preserve">Prazo para a arte ou o vídeo ficar pronto.</t>
        </r>
      </text>
    </comment>
    <comment ref="H5" authorId="0">
      <text>
        <r>
          <rPr>
            <sz val="10"/>
            <rFont val="Arial"/>
            <family val="2"/>
          </rPr>
          <t xml:space="preserve">Data fixa: os dois reels do Dr. Ronald (P01 e P10) têm roteiro neste arquivo e são gravados no mesmo dia.</t>
        </r>
      </text>
    </comment>
    <comment ref="H14" authorId="0">
      <text>
        <r>
          <rPr>
            <sz val="10"/>
            <rFont val="Arial"/>
            <family val="2"/>
          </rPr>
          <t xml:space="preserve">Data fixa: os dois reels do Dr. Ronald (P01 e P10) têm roteiro neste arquivo e são gravados no mesmo dia.</t>
        </r>
      </text>
    </comment>
    <comment ref="J2" authorId="0">
      <text>
        <r>
          <rPr>
            <sz val="10"/>
            <rFont val="Arial"/>
            <family val="2"/>
          </rPr>
          <t xml:space="preserve">Prazo para aprovar a peça final.</t>
        </r>
      </text>
    </comment>
  </commentList>
</comments>
</file>

<file path=xl/sharedStrings.xml><?xml version="1.0" encoding="utf-8"?>
<sst xmlns="http://schemas.openxmlformats.org/spreadsheetml/2006/main" count="789" uniqueCount="537">
  <si>
    <t xml:space="preserve">Programação do Instagram da fairhealth · 19/10 a 13/11</t>
  </si>
  <si>
    <t xml:space="preserve">12 posts em 4 semanas, 3 por semana (1 reel e 2 posts estáticos). Versão de 14/10/2026. A mesma programação está em PowerPoint: marketing/Programacao_Instagram_19-10_a_13-11_v4.pptx.</t>
  </si>
  <si>
    <t xml:space="preserve">Abas</t>
  </si>
  <si>
    <t xml:space="preserve">Cronograma: a lista dos 12 posts com data, formato e status, os prazos de roteiro, criação e aprovação e um gráfico de barras dia a dia. É a aba principal: as outras puxam os dados dela.</t>
  </si>
  <si>
    <t xml:space="preserve">Calendário: o mês em formato de calendário, com uma cor por formato (Reel em Tiffany, Carrossel em verde, Foto única em branco).</t>
  </si>
  <si>
    <t xml:space="preserve">Posts: a ficha completa de cada post: subtítulo, gancho, objetivo, o que estamos dizendo por trás, fio da história, direção visual, material, legenda pronta, stories de apoio, fonte e validação.</t>
  </si>
  <si>
    <t xml:space="preserve">Roteiros: cada reel cena por cena (tempo, texto na tela, fala e visual) e cada carrossel slide por slide.</t>
  </si>
  <si>
    <t xml:space="preserve">Blocos: os 4 blocos (Reconhecimento, Relevância, Compreensão e Confiança), com a pergunta e o intuito de cada um.</t>
  </si>
  <si>
    <t xml:space="preserve">Validações: o que precisa de aval antes de publicar, com quem confirma e a situação.</t>
  </si>
  <si>
    <t xml:space="preserve">Listas: feriados, datas especiais e os valores das listas suspensas.</t>
  </si>
  <si>
    <t xml:space="preserve">Como editar</t>
  </si>
  <si>
    <t xml:space="preserve">Células amarelas (aba Cronograma, linha 2): a data de início do mês e os prazos de roteiro, criação e aprovação, em dias úteis antes da publicação. Mude ali e todos os prazos se ajustam.</t>
  </si>
  <si>
    <t xml:space="preserve">Para mudar a data de um post, mude a coluna Publicação no Cronograma: o calendário, a ficha e os roteiros acompanham.</t>
  </si>
  <si>
    <t xml:space="preserve">Status, Formato e Bloco têm lista suspensa. Datas em azul no Cronograma são fixas (os dois reels do Dr. Ronald, gravados no mesmo dia).</t>
  </si>
  <si>
    <t xml:space="preserve">Fluxo de status: Ideia → Roteiro em revisão → Roteiro pronto → Em produção → Arte pronta → Em aprovação → Aprovado → Agendado → Publicado (ou Aguardando decisão).</t>
  </si>
  <si>
    <t xml:space="preserve">Regras de texto e arte</t>
  </si>
  <si>
    <t xml:space="preserve">Marca em minúsculas (fairhealth) na arte e na legenda. Só Raleway. O Tiffany é a cor principal e entra como fundo, não só como detalhe. Fio contínuo como elemento gráfico. Sem amarelo nas artes.</t>
  </si>
  <si>
    <t xml:space="preserve">Números sempre com fonte e com suavidade (o cuidado vem primeiro). Sem promessa clínica, sem preço e sem prometer conformidade com a NR-1. Nenhum nome de cliente; personagem fictícia sempre sinalizada.</t>
  </si>
  <si>
    <t xml:space="preserve">Legendas com 5 hashtags, a primeira sempre #fairhealth.</t>
  </si>
  <si>
    <t xml:space="preserve">Fontes do conteúdo</t>
  </si>
  <si>
    <t xml:space="preserve">marketing/calendario-12-posts.md · instagram/essencia.md · instagram/voice.md · instagram/posts/nossa-historia/README.md · planilha do calendário editorial (roteiros de 09/10 a 13/10).</t>
  </si>
  <si>
    <t xml:space="preserve">Cronograma de produção e publicação · 19/10 a 13/11 · 12 posts, 3 por semana</t>
  </si>
  <si>
    <t xml:space="preserve">Início do mês</t>
  </si>
  <si>
    <t xml:space="preserve">Roteiro: dias úteis antes</t>
  </si>
  <si>
    <t xml:space="preserve">Criação (arte ou gravação): dias úteis antes</t>
  </si>
  <si>
    <t xml:space="preserve">Aprovação: dias úteis antes</t>
  </si>
  <si>
    <t xml:space="preserve">Barras do cronograma: R roteiro · C criação (arte ou gravação) · A aprovação · P publicação. Os prazos descontam fins de semana e feriados (aba Listas).</t>
  </si>
  <si>
    <t xml:space="preserve">ID</t>
  </si>
  <si>
    <t xml:space="preserve">Publicação</t>
  </si>
  <si>
    <t xml:space="preserve">Dia</t>
  </si>
  <si>
    <t xml:space="preserve">Semana</t>
  </si>
  <si>
    <t xml:space="preserve">Bloco</t>
  </si>
  <si>
    <t xml:space="preserve">Formato</t>
  </si>
  <si>
    <t xml:space="preserve">Título</t>
  </si>
  <si>
    <t xml:space="preserve">Roteiro até</t>
  </si>
  <si>
    <t xml:space="preserve">Criação até</t>
  </si>
  <si>
    <t xml:space="preserve">Aprovação até</t>
  </si>
  <si>
    <t xml:space="preserve">Status</t>
  </si>
  <si>
    <t xml:space="preserve">Responsável</t>
  </si>
  <si>
    <t xml:space="preserve">P01</t>
  </si>
  <si>
    <t xml:space="preserve">1 · Reconhecimento</t>
  </si>
  <si>
    <t xml:space="preserve">Reel</t>
  </si>
  <si>
    <t xml:space="preserve">Quem somos, na voz do Dr. Ronald</t>
  </si>
  <si>
    <t xml:space="preserve">Roteiro em revisão</t>
  </si>
  <si>
    <t xml:space="preserve">P02</t>
  </si>
  <si>
    <t xml:space="preserve">Carrossel</t>
  </si>
  <si>
    <t xml:space="preserve">Por que a FairHealth existe?</t>
  </si>
  <si>
    <t xml:space="preserve">Arte pronta</t>
  </si>
  <si>
    <t xml:space="preserve">P03</t>
  </si>
  <si>
    <t xml:space="preserve">2 · Relevância</t>
  </si>
  <si>
    <t xml:space="preserve">Cuidar da saúde não deveria começar quando algo vai mal</t>
  </si>
  <si>
    <t xml:space="preserve">P04</t>
  </si>
  <si>
    <t xml:space="preserve">O que acontece quando o cuidado não faz parte da rotina?</t>
  </si>
  <si>
    <t xml:space="preserve">P05</t>
  </si>
  <si>
    <t xml:space="preserve">Foto única</t>
  </si>
  <si>
    <t xml:space="preserve">Prevenção também é investimento</t>
  </si>
  <si>
    <t xml:space="preserve">P06</t>
  </si>
  <si>
    <t xml:space="preserve">Como transformar a prevenção em parte da rotina de uma empresa?</t>
  </si>
  <si>
    <t xml:space="preserve">P07</t>
  </si>
  <si>
    <t xml:space="preserve">3 · Compreensão</t>
  </si>
  <si>
    <t xml:space="preserve">Como funciona o cuidado na prática?</t>
  </si>
  <si>
    <t xml:space="preserve">Aguardando decisão</t>
  </si>
  <si>
    <t xml:space="preserve">P08</t>
  </si>
  <si>
    <t xml:space="preserve">Quatro frentes, um cuidado conectado</t>
  </si>
  <si>
    <t xml:space="preserve">P09</t>
  </si>
  <si>
    <t xml:space="preserve">4 · Confiança</t>
  </si>
  <si>
    <t xml:space="preserve">Uma história de cuidado que começou em 2009</t>
  </si>
  <si>
    <t xml:space="preserve">P10</t>
  </si>
  <si>
    <t xml:space="preserve">Cuidado na prática: experiências e resultados reais</t>
  </si>
  <si>
    <t xml:space="preserve">P11</t>
  </si>
  <si>
    <t xml:space="preserve">Estilo de vida também é tratamento sério</t>
  </si>
  <si>
    <t xml:space="preserve">Roteiro pronto</t>
  </si>
  <si>
    <t xml:space="preserve">P12</t>
  </si>
  <si>
    <t xml:space="preserve">Como levar a FairHealth para sua empresa?</t>
  </si>
  <si>
    <t xml:space="preserve">Resumo</t>
  </si>
  <si>
    <t xml:space="preserve">Reels</t>
  </si>
  <si>
    <t xml:space="preserve">Carrosséis</t>
  </si>
  <si>
    <t xml:space="preserve">Fotos únicas</t>
  </si>
  <si>
    <t xml:space="preserve">Total</t>
  </si>
  <si>
    <t xml:space="preserve">Publicados</t>
  </si>
  <si>
    <t xml:space="preserve">Calendário do mês · 19/10 a 13/11</t>
  </si>
  <si>
    <t xml:space="preserve">Os títulos vêm da aba Cronograma: mudou a data lá, muda aqui. A cor mostra o formato.</t>
  </si>
  <si>
    <t xml:space="preserve">seg</t>
  </si>
  <si>
    <t xml:space="preserve">ter</t>
  </si>
  <si>
    <t xml:space="preserve">qua</t>
  </si>
  <si>
    <t xml:space="preserve">qui</t>
  </si>
  <si>
    <t xml:space="preserve">sex</t>
  </si>
  <si>
    <t xml:space="preserve">sáb</t>
  </si>
  <si>
    <t xml:space="preserve">dom</t>
  </si>
  <si>
    <t xml:space="preserve">Semana 1</t>
  </si>
  <si>
    <t xml:space="preserve">Semana 2</t>
  </si>
  <si>
    <t xml:space="preserve">Semana 3</t>
  </si>
  <si>
    <t xml:space="preserve">Semana 4</t>
  </si>
  <si>
    <t xml:space="preserve">Ritmo: 1 reel e 2 posts estáticos por semana, segunda, quarta e sexta (na semana de Finados, terça, quarta e sexta).</t>
  </si>
  <si>
    <t xml:space="preserve">Ficha de cada post</t>
  </si>
  <si>
    <t xml:space="preserve">Data, dia, semana, bloco, formato, título e status vêm da aba Cronograma. Na arte e na legenda, a marca vai em minúsculas (fairhealth).</t>
  </si>
  <si>
    <t xml:space="preserve">Título (calendário)</t>
  </si>
  <si>
    <t xml:space="preserve">Subtítulo</t>
  </si>
  <si>
    <t xml:space="preserve">No calendário de 12 posts</t>
  </si>
  <si>
    <t xml:space="preserve">Especificação</t>
  </si>
  <si>
    <t xml:space="preserve">Gancho / capa (primeira frase)</t>
  </si>
  <si>
    <t xml:space="preserve">Objetivo</t>
  </si>
  <si>
    <t xml:space="preserve">O que estamos dizendo por trás</t>
  </si>
  <si>
    <t xml:space="preserve">Persona</t>
  </si>
  <si>
    <t xml:space="preserve">Fio da história (vem de · leva para)</t>
  </si>
  <si>
    <t xml:space="preserve">Direção visual</t>
  </si>
  <si>
    <t xml:space="preserve">Material necessário</t>
  </si>
  <si>
    <t xml:space="preserve">Legenda (pronta para colar)</t>
  </si>
  <si>
    <t xml:space="preserve">Stories de apoio</t>
  </si>
  <si>
    <t xml:space="preserve">Fonte</t>
  </si>
  <si>
    <t xml:space="preserve">Validar antes de publicar</t>
  </si>
  <si>
    <t xml:space="preserve">Link da arte</t>
  </si>
  <si>
    <t xml:space="preserve">Comentários da revisão</t>
  </si>
  <si>
    <t xml:space="preserve">Resumo dos posts já publicados, contado pelo fundador do Escritório do Paciente, puxando a origem em 2009</t>
  </si>
  <si>
    <t xml:space="preserve">Novo (antes do post 02)</t>
  </si>
  <si>
    <t xml:space="preserve">Reel 9:16 (1080 × 1920), 35 a 45 s. Capa 4:5 para a grade.</t>
  </si>
  <si>
    <t xml:space="preserve">Se você chegou agora, em 40 segundos eu te conto o que é a fairhealth.</t>
  </si>
  <si>
    <t xml:space="preserve">Dar rosto e voz médica à marca, retomar os dois posts publicados e abrir o post da origem.</t>
  </si>
  <si>
    <t xml:space="preserve">Rosto e voz médica para a marca, com confiança desde o começo.</t>
  </si>
  <si>
    <t xml:space="preserve">RH; Colaboradores</t>
  </si>
  <si>
    <t xml:space="preserve">Vem de: os posts publicados "O que é a fairhealth?" e "Conheça o Escritório do Cuidado". Leva para: P02, a origem em 2009 (a última frase do reel anuncia o post).</t>
  </si>
  <si>
    <t xml:space="preserve">Dr. Ronald em plano médio, olhando para a câmera, em sala clara e neutra (nunca numa empresa-cliente). Legendas sempre na tela, em Raleway. Cortes secos, trilha calma e baixa. Capa com fundo Tiffany e a frase "O que é a fairhealth, em 40 segundos".</t>
  </si>
  <si>
    <t xml:space="preserve">Gravação vertical com celular ou câmera, microfone de lapela, luz natural ou de janela. Autorização de uso de imagem assinada. Gravar no mesmo dia que o P10.</t>
  </si>
  <si>
    <t xml:space="preserve">Se você chegou agora, o Dr. Ronald te conta em 40 segundos o que é a fairhealth.
Medicina preventiva, dentro da empresa: médicos e psicólogos perto de quem trabalha, um plano de cuidado para cada pessoa e acompanhamento de perto. Tudo começa no Escritório do Cuidado, com uma pergunta: o que é importante para você?
E essa pergunta tem história. Ela nasceu num hospital, em 2009. É o nosso próximo post.
#fairhealth #saudecorporativa #medicinapreventiva #escritoriodocuidado #cuidadocentradonapessoa</t>
  </si>
  <si>
    <t xml:space="preserve">Repost do reel com a caixa de perguntas "O que você quer saber sobre a fairhealth?".</t>
  </si>
  <si>
    <t xml:space="preserve">Posicionamento v3.2 e one-pager (11/10); essencia.md ("De onde veio").</t>
  </si>
  <si>
    <t xml:space="preserve">Autorização de uso de imagem do Dr. Ronald. Como creditar (nome e função) na legenda e na tela. Exceção à decisão de 09/10 de não ter o time em cena (o post do time segue segurado).</t>
  </si>
  <si>
    <t xml:space="preserve">A origem do modelo de cuidado em 2009 e sua evolução até as empresas</t>
  </si>
  <si>
    <t xml:space="preserve">Post 02</t>
  </si>
  <si>
    <t xml:space="preserve">Carrossel 4:5 (1080 × 1350), 6 slides.</t>
  </si>
  <si>
    <t xml:space="preserve">Antes de chegar às empresas, nossa história começou em um hospital.</t>
  </si>
  <si>
    <t xml:space="preserve">Contar a origem do modelo e criar conexão com o propósito.</t>
  </si>
  <si>
    <t xml:space="preserve">O modelo tem história: não somos mais uma startup de bem-estar. O cuidado começa pela pessoa.</t>
  </si>
  <si>
    <t xml:space="preserve">RH; Colaboradores; Medicina do Trabalho</t>
  </si>
  <si>
    <t xml:space="preserve">Vem de: o reel do Dr. Ronald, que termina em "nasceu num hospital, em 2009". Leva para: P03, por que o cuidado precisa chegar antes.</t>
  </si>
  <si>
    <t xml:space="preserve">Arte v2: Tiffany como cor principal (fundos Tiffany nos slides 2, 4 e 6, verde nos 3 e 5, capa de luz tiffany). Um fio contínuo creme atravessa os seis slides, de um ponto na capa até o logo.</t>
  </si>
  <si>
    <t xml:space="preserve">Arte pronta: instagram/posts/nossa-historia/png-v2/ (h01 a h06). Levar ao Canva com elementos editáveis, se precisar ajustar.</t>
  </si>
  <si>
    <t xml:space="preserve">A história por trás da fairhealth começou muito antes de chegarmos às empresas.
Em 2009, dentro de um hospital, nascia o Escritório do Paciente: um modelo de cuidado que tinha a escuta e as necessidades de cada pessoa como ponto de partida.
Ao longo do tempo, essa forma de cuidar evoluiu e encontrou novos espaços. O Escritório do Paciente virou o Escritório do Cuidado.
Hoje, na fairhealth, levamos essa filosofia para dentro das empresas, aproximando o cuidado preventivo da rotina das pessoas.
Porque, para nós, cuidar não é apenas olhar para a saúde. É olhar para quem está por trás dela.
O cuidado começa pela pessoa.
#fairhealth #saudecorporativa #medicinapreventiva #cuidadohumanizado #escritoriodocuidado</t>
  </si>
  <si>
    <t xml:space="preserve">Slide 2 (2009) com a enquete "Você sabia que a fairhealth nasceu num hospital?".</t>
  </si>
  <si>
    <t xml:space="preserve">essencia.md ("De onde veio"). Proposta de roteiro da Nina (13/10).</t>
  </si>
  <si>
    <t xml:space="preserve">Confirmar o ano de 2009 e a passagem do Escritório do Paciente para o Escritório do Cuidado (2024 e 2025). Sem o nome do hospital nem de pessoas. "Validado no SUS" fica de fora.</t>
  </si>
  <si>
    <t xml:space="preserve">A importância de uma abordagem preventiva, e não apenas reativa</t>
  </si>
  <si>
    <t xml:space="preserve">Post 04</t>
  </si>
  <si>
    <t xml:space="preserve">Carrossel 4:5 (1080 × 1350), 8 slides.</t>
  </si>
  <si>
    <t xml:space="preserve">Cuidar da saúde não deveria começar quando algo vai mal.</t>
  </si>
  <si>
    <t xml:space="preserve">Mostrar a diferença entre cuidado reativo e preventivo, voltando no tempo a cada slide.</t>
  </si>
  <si>
    <t xml:space="preserve">O plano de saúde entra depois. A fairhealth entra antes.</t>
  </si>
  <si>
    <t xml:space="preserve">RH; Lideranças</t>
  </si>
  <si>
    <t xml:space="preserve">Vem de: P02, o cuidado que saiu do hospital para chegar antes. Leva para: P04, o que acontece quando o cuidado não está na rotina.</t>
  </si>
  <si>
    <t xml:space="preserve">Carrossel "de trás para frente": o fio contínuo corre da direita para a esquerda, com um ponto em cada etapa (afastamento, atestado, semana pesada, noite sem dormir). Capa Tiffany; slides 2 a 5 alternando verde e Tiffany; frase da pergunta em negrito itálico.</t>
  </si>
  <si>
    <t xml:space="preserve">Só tipografia e o fio. Sem foto.</t>
  </si>
  <si>
    <t xml:space="preserve">Todo afastamento tem um antes.
Antes do afastamento, teve um atestado. Antes do atestado, uma semana pesada. Antes dela, uma noite sem dormir. E, no começo de tudo, uma pergunta que ninguém fez: o que é importante para você?
O cuidado reativo chega quando a doença já apareceu. O preventivo chega antes, na rotina e nos primeiros sinais. É nesse antes que a fairhealth trabalha, dentro da empresa.
Salve este post e mande para quem cuida das pessoas na sua empresa.
#fairhealth #saudecorporativa #medicinapreventiva #saudemental #gestaodepessoas</t>
  </si>
  <si>
    <t xml:space="preserve">Caixa de perguntas: "Qual é o primeiro sinal de que alguém do seu time não está bem?".</t>
  </si>
  <si>
    <t xml:space="preserve">Posicionamento v3.2 (eixo "antes").</t>
  </si>
  <si>
    <t xml:space="preserve">Sem promessa de evitar doença (CFM): o texto fala de cuidado, não de resultado.</t>
  </si>
  <si>
    <t xml:space="preserve">Desafios da saúde dos colaboradores: acesso e continuidade do cuidado</t>
  </si>
  <si>
    <t xml:space="preserve">Post 05</t>
  </si>
  <si>
    <t xml:space="preserve">Reel 9:16 (1080 × 1920), 25 a 30 s, só tipografia. Capa 4:5.</t>
  </si>
  <si>
    <t xml:space="preserve">Mostrar o tamanho do problema com um número oficial e as três barreiras do dia a dia.</t>
  </si>
  <si>
    <t xml:space="preserve">O problema não é a falta de plano de saúde: é o cuidado estar longe.</t>
  </si>
  <si>
    <t xml:space="preserve">RH; Diretoria financeira</t>
  </si>
  <si>
    <t xml:space="preserve">Vem de: P03, cuidar antes. Leva para: P05, para a empresa, cuidar antes também é investimento.</t>
  </si>
  <si>
    <t xml:space="preserve">Tipografia animada em Raleway, frase a frase, alternando fundos Tiffany e verde. Número em verde-escuro, calmo, nunca em vermelho. Fonte no rodapé. Texto dentro da área segura. Trilha calma.</t>
  </si>
  <si>
    <t xml:space="preserve">Só tipografia (Canva ou CapCut). Sem foto e sem locução (voz em off opcional).</t>
  </si>
  <si>
    <t xml:space="preserve">Em 2024, o Brasil registrou mais de 470 mil licenças do trabalho por saúde mental, o maior número em dez anos (Ministério da Previdência Social).
Por trás de cada número, quase sempre tem um cuidado que chegou tarde. Não por falta de plano de saúde, mas por três barreiras do dia a dia: falta de tempo, cuidado longe de onde a pessoa está e nenhuma continuidade depois da consulta.
Quando o cuidado está perto, ele deixa de ser exceção e vira rotina.
#fairhealth #saudementalnotrabalho #saudecorporativa #medicinapreventiva #gestaodepessoas</t>
  </si>
  <si>
    <t xml:space="preserve">Enquete: "Na sua empresa, o cuidado com a saúde é rotina ou exceção?".</t>
  </si>
  <si>
    <t xml:space="preserve">Ministério da Previdência Social: 472.328 licenças por transtornos mentais em 2024, maior número da série iniciada em 2014 (dados divulgados em 2025).</t>
  </si>
  <si>
    <t xml:space="preserve">Conferir o número no painel oficial de dados abertos (veículos divulgam 440 mil e 472 mil) e a frase "o maior número em dez anos".</t>
  </si>
  <si>
    <t xml:space="preserve">O que os estudos mostram sobre absenteísmo e custos com saúde quando a empresa cuida antes</t>
  </si>
  <si>
    <t xml:space="preserve">Extra</t>
  </si>
  <si>
    <t xml:space="preserve">Foto única 4:5 (1080 × 1350).</t>
  </si>
  <si>
    <t xml:space="preserve">Prevenção também é investimento.</t>
  </si>
  <si>
    <t xml:space="preserve">Mostrar, com estudos externos e a fonte visível, que cuidar antes também faz sentido para a empresa.</t>
  </si>
  <si>
    <t xml:space="preserve">Cuidar antes também faz sentido para o financeiro. O retorno é consequência, não promessa.</t>
  </si>
  <si>
    <t xml:space="preserve">Vem de: P04, o tamanho do problema. Leva para: P06, como a prevenção vira rotina.</t>
  </si>
  <si>
    <t xml:space="preserve">Arte pronta (luz tiffany, números em Tiffany, sem brilho). Tirar a paginação e a etiqueta do carrossel antigo.</t>
  </si>
  <si>
    <t xml:space="preserve">Canva: design DAHX17FZzNQ (https://www.canva.com/d/E6Gp2hFDhnNw1ME). Repositório: instagram/posts/o-que-e-a-fairhealth/png-v10/d10.png.</t>
  </si>
  <si>
    <t xml:space="preserve">Prevenção também é investimento.
Cuidar antes faz bem para as pessoas. E os estudos mostram que também faz diferença para a empresa:
−28% de absenteísmo (Harvard Business Review, 2022)
−22% de custos com saúde (SHRM, 2023)
São números de estudos externos, não uma promessa de resultado.
É esse o trabalho da fairhealth: medicina preventiva, dentro da empresa, com um plano de cuidado para cada pessoa.
Quer conversar sobre isso na sua empresa? Fale com a gente pelo direct.
#fairhealth #saudecorporativa #medicinapreventiva #absenteismo #gestaodepessoas</t>
  </si>
  <si>
    <t xml:space="preserve">Repost com o adesivo de link para o artigo ou com a pergunta "Sua empresa mede o absenteísmo?".</t>
  </si>
  <si>
    <t xml:space="preserve">Harvard Business Review (2022); SHRM (2023). Números liberados desde 25/09 (voice.md).</t>
  </si>
  <si>
    <t xml:space="preserve">Confirmar o que cada estudo mediu (tipo de programa e população). São estudos externos, nunca resultado da fairhealth.</t>
  </si>
  <si>
    <t xml:space="preserve">Conectar o problema ao modelo de cuidado oferecido pela FairHealth</t>
  </si>
  <si>
    <t xml:space="preserve">Post 06</t>
  </si>
  <si>
    <t xml:space="preserve">Carrossel 4:5 (1080 × 1350), 7 slides.</t>
  </si>
  <si>
    <t xml:space="preserve">Prevenção não é campanha. É rotina.</t>
  </si>
  <si>
    <t xml:space="preserve">Ligar o problema ao modelo da fairhealth em cinco movimentos práticos.</t>
  </si>
  <si>
    <t xml:space="preserve">Prevenção é estrutura, não campanha pontual.</t>
  </si>
  <si>
    <t xml:space="preserve">Vem de: P05, prevenção também é investimento. Fecha o bloco de relevância. Leva para: P07, como isso acontece na prática.</t>
  </si>
  <si>
    <t xml:space="preserve">Passo a passo numerado no fio contínuo (um ponto por movimento). Capa Tiffany; slides alternando verde e Tiffany; número de cada movimento grande e fino.</t>
  </si>
  <si>
    <t xml:space="preserve">Só tipografia, o fio e ícones lineares finos.</t>
  </si>
  <si>
    <t xml:space="preserve">Prevenção não acontece numa campanha de um mês. Ela precisa fazer parte da rotina.
Na prática, isso pede cinco movimentos: levar o cuidado para perto de quem trabalha, começar pela escuta, montar um plano que caiba na vida real, acompanhar de forma contínua e dar ao RH uma visão do todo, sem expor ninguém.
É assim que a fairhealth trabalha dentro das empresas. Na semana que vem, a gente mostra como isso acontece na prática.
#fairhealth #saudecorporativa #medicinapreventiva #medicinadoestilodevida #gestaodepessoas</t>
  </si>
  <si>
    <t xml:space="preserve">Sequência com os 5 movimentos, um por story, e o adesivo "Salvar".</t>
  </si>
  <si>
    <t xml:space="preserve">One-pager (11/10); posicionamento v3.2 (diferenciais).</t>
  </si>
  <si>
    <t xml:space="preserve">Indicadores que entram no relatório do RH (fairdata). Não prometer conformidade com a NR-1.</t>
  </si>
  <si>
    <t xml:space="preserve">A jornada entre escuta, atendimento, plano individualizado e acompanhamento</t>
  </si>
  <si>
    <t xml:space="preserve">Post 08</t>
  </si>
  <si>
    <t xml:space="preserve">Retomar o Escritório do Cuidado pela experiência de quem é atendido, sem repetir a apresentação.</t>
  </si>
  <si>
    <t xml:space="preserve">O plano é possível e humano: cabe na rotina real de cada pessoa.</t>
  </si>
  <si>
    <t xml:space="preserve">Colaboradores; RH</t>
  </si>
  <si>
    <t xml:space="preserve">Vem de: P06 ("na semana que vem, como isso acontece na prática"). Leva para: P08, as quatro frentes que sustentam essa jornada.</t>
  </si>
  <si>
    <t xml:space="preserve">Card de interface com o plano da Clara (modelo M3). Sem foto de pessoa: a personagem aparece só no texto e no card. Rodapé "História ilustrativa. Personagem fictícia." em todos os slides com a Clara.</t>
  </si>
  <si>
    <t xml:space="preserve">Tipografia, card do plano e ícones finos. Se a decisão for não usar personagem: mesma jornada falando direto com quem lê ("você chega, a gente pergunta...").</t>
  </si>
  <si>
    <t xml:space="preserve">Como funciona o cuidado na prática? A gente mostra pela história da Clara.
Ela chegou ao Escritório do Cuidado e a primeira pergunta foi: o que é importante para você? A resposta dela: "quero voltar a ter energia para brincar com meu filho".
Depois vieram o questionário de estilo de vida e as medições, um plano com três ações pequenas que cabem no turno dela e o acompanhamento de perto. Se a vida muda, o plano muda junto.
História ilustrativa, com personagem fictícia.
E para você, o que é importante? Conta pra gente nos comentários.
#fairhealth #escritoriodocuidado #medicinadoestilodevida #saudecorporativa #cuidadocentradonapessoa</t>
  </si>
  <si>
    <t xml:space="preserve">Caixa de perguntas: "O que é importante para você hoje?".</t>
  </si>
  <si>
    <t xml:space="preserve">Dinâmica das consultas (essencia.md); one-pager (11/10). Personagem fictícia.</t>
  </si>
  <si>
    <t xml:space="preserve">Decidir: com a Clara (personagem fictícia, sinalizada) ou sem personagem. A responsável médica confere as etapas (questionário, bioimpedância, smartband por 48 h, retorno) e se o plano da Clara é plausível. Nome do plano: "Plano de Cuidado Individualizado".</t>
  </si>
  <si>
    <t xml:space="preserve">Medicina do Estilo de Vida, Escritório do Cuidado, plataforma e wearables</t>
  </si>
  <si>
    <t xml:space="preserve">Post 09</t>
  </si>
  <si>
    <t xml:space="preserve">Reel 9:16 (1080 × 1920), 25 a 30 s, motion. Capa 4:5.</t>
  </si>
  <si>
    <t xml:space="preserve">Quatro frentes. Um cuidado só.</t>
  </si>
  <si>
    <t xml:space="preserve">Mostrar que as quatro frentes funcionam juntas, ligadas pelo fio contínuo.</t>
  </si>
  <si>
    <t xml:space="preserve">Não são quatro produtos: é um cuidado só.</t>
  </si>
  <si>
    <t xml:space="preserve">RH; RI e C-Level</t>
  </si>
  <si>
    <t xml:space="preserve">Vem de: P07, a jornada de uma pessoa. Leva para: P09, de onde vem esse método.</t>
  </si>
  <si>
    <t xml:space="preserve">Motion em Tiffany e verde. O fio contínuo (creme) passa por quatro pontos; em cada ponto, um ícone linear fino e o nome da frente. No fim, o fio se fecha em volta da palavra "pessoa". Sem pessoas em cena.</t>
  </si>
  <si>
    <t xml:space="preserve">Motion no Canva ou After Effects, ícones lineares finos, trilha calma.</t>
  </si>
  <si>
    <t xml:space="preserve">Não são quatro produtos soltos. É um cuidado só.
O Escritório do Cuidado leva médicos e psicólogos para dentro da empresa. O Programa de Medicina do Estilo de Vida leva informação para todos. A plataforma digital guarda o histórico e as metas de cada pessoa. E os wearables ajudam a acompanhar a rotina entre uma consulta e outra.
Juntas, as quatro frentes fazem o cuidado continuar depois que a consulta acaba.
#fairhealth #saudecorporativa #medicinadoestilodevida #escritoriodocuidado #tecnologiaemsaude</t>
  </si>
  <si>
    <t xml:space="preserve">Quiz: "Qual destas frentes acompanha a rotina entre as consultas?" (resposta: wearables).</t>
  </si>
  <si>
    <t xml:space="preserve">One-pager (11/10): as quatro frentes.</t>
  </si>
  <si>
    <t xml:space="preserve">Nomes das frentes iguais aos do one-pager e do post "O que é a fairhealth?".</t>
  </si>
  <si>
    <t xml:space="preserve">Linha do tempo da metodologia e evolução até a FairHealth</t>
  </si>
  <si>
    <t xml:space="preserve">Post 10</t>
  </si>
  <si>
    <t xml:space="preserve">A fairhealth é nova. O jeito de cuidar, não.</t>
  </si>
  <si>
    <t xml:space="preserve">Mostrar que o método tem base, trajetória e evidência (o P02 contou o porquê; este mostra o como).</t>
  </si>
  <si>
    <t xml:space="preserve">O método tem base internacional, trajetória e evidência.</t>
  </si>
  <si>
    <t xml:space="preserve">RH; Medicina do Trabalho; RI e C-Level</t>
  </si>
  <si>
    <t xml:space="preserve">Vem de: P08, as quatro frentes. Leva para: P10, os resultados na prática.</t>
  </si>
  <si>
    <t xml:space="preserve">Linha do tempo no fio contínuo, um marco por slide, ano grande e fino. Capa Tiffany; slides alternando verde e Tiffany.</t>
  </si>
  <si>
    <t xml:space="preserve">Só tipografia e o fio.</t>
  </si>
  <si>
    <t xml:space="preserve">A fairhealth é nova. O jeito de cuidar, não.
Ele começou em 2009, num hospital, com o Escritório do Paciente, e acompanhou a evolução das grandes metas da saúde: qualidade, acesso e custo; depois o cuidado com quem cuida; depois a equidade.
No hospital onde tudo começou, as reclamações caíram de 34 para cerca de 20 por mês. Em 2024, o modelo chegou às empresas como Escritório do Cuidado.
Desde 2009, a mesma ideia: a pessoa no centro do cuidado.
#fairhealth #saudecorporativa #experienciadopaciente #cuidadocentradonapessoa #escritoriodocuidado</t>
  </si>
  <si>
    <t xml:space="preserve">Slide do caso do hospital com a pergunta "Você conhecia os Aims da saúde?".</t>
  </si>
  <si>
    <t xml:space="preserve">essencia.md ("De onde veio"): IHI Triple Aim (2007 e 2008), Escritório do Paciente (2009), Quadruple Aim (2014), Quintuple Aim (2021), Escritório do Cuidado (2024 e 2025); caso do hospital (reclamações de 34 para cerca de 20 por mês, apresentado em congresso).</t>
  </si>
  <si>
    <t xml:space="preserve">Conferir as datas e a descrição de cada Aim. Números do caso liberados e sempre sem o nome do hospital. "Validado no SUS" fica de fora até ter fonte.</t>
  </si>
  <si>
    <t xml:space="preserve">Evidências e resultados documentados, contados pelo Dr. Ronald</t>
  </si>
  <si>
    <t xml:space="preserve">Post 11</t>
  </si>
  <si>
    <t xml:space="preserve">Reel 9:16 (1080 × 1920), 35 a 45 s. Capa 4:5.</t>
  </si>
  <si>
    <t xml:space="preserve">Ninguém volta a um lugar onde não se sentiu cuidado.</t>
  </si>
  <si>
    <t xml:space="preserve">Provar com números liberados que as pessoas usam e voltam, na voz de um médico.</t>
  </si>
  <si>
    <t xml:space="preserve">A prova de que as pessoas usam e voltam. Ninguém volta a um lugar onde não se sentiu cuidado.</t>
  </si>
  <si>
    <t xml:space="preserve">Vem de: P09, a trajetória do método. Leva para: P11, a ciência por trás desse jeito de cuidar.</t>
  </si>
  <si>
    <t xml:space="preserve">Mesmo cenário e enquadramento do P01, para a série ficar reconhecível. Números na tela em verde-escuro sobre Tiffany, calmos, com a fonte em texto pequeno. Legendas sempre.</t>
  </si>
  <si>
    <t xml:space="preserve">Gravado no mesmo dia que o P01. Autorização de uso de imagem.</t>
  </si>
  <si>
    <t xml:space="preserve">Ninguém volta a um lugar onde não se sentiu cuidado.
Numa indústria que atendemos, no primeiro semestre de 2026, 8 em cada 10 pessoas voltaram para mais de um atendimento, e a adesão chegou a 98%.
O Dr. Ronald conta por que isso acontece: o cuidado está perto, começa por uma conversa e é feito para cada pessoa.
#fairhealth #saudecorporativa #medicinapreventiva #escritoriodocuidado #gestaodepessoas</t>
  </si>
  <si>
    <t xml:space="preserve">Repost com o número "8 em cada 10" e a caixa de perguntas "Quer saber como isso funciona na sua empresa?".</t>
  </si>
  <si>
    <t xml:space="preserve">Dados internos de um cliente do setor industrial, 1º semestre de 2026 (liberados): 81,3% voltaram para 2 ou mais atendimentos; adesão de 98%. Sempre agregado e sem o nome da empresa.</t>
  </si>
  <si>
    <t xml:space="preserve">Só números liberados, sempre "uma indústria que atendemos", sem o nome. Confirmar a fonte da adesão de 98%.</t>
  </si>
  <si>
    <t xml:space="preserve">O que a ciência mostra sobre mudar a rotina, na semana do Dia Mundial do Diabetes</t>
  </si>
  <si>
    <t xml:space="preserve">Estilo de vida também é tratamento sério.</t>
  </si>
  <si>
    <t xml:space="preserve">Mostrar a base científica da Medicina do Estilo de Vida com um estudo clássico, na semana do Dia Mundial do Diabetes (14/11).</t>
  </si>
  <si>
    <t xml:space="preserve">A Medicina do Estilo de Vida tem ciência por trás. O cuidado começa pela rotina porque a rotina importa.</t>
  </si>
  <si>
    <t xml:space="preserve">Colaboradores; RH; Medicina do Trabalho</t>
  </si>
  <si>
    <t xml:space="preserve">Vem de: P10, os resultados. Leva para: P12, o convite para o RH.</t>
  </si>
  <si>
    <t xml:space="preserve">Modelo de dado com fonte (M6), suave, nos slides 4 e 5. Números em verde-escuro, sem destaque alarmista. Capa Tiffany.</t>
  </si>
  <si>
    <t xml:space="preserve">Mudar a rotina faz diferença de verdade? A ciência responde.
Num estudo clássico, publicado no New England Journal of Medicine, mais de 3 mil adultos com risco aumentado de diabetes tipo 2 foram acompanhados por quase 3 anos. Quem mudou a rotina, com alimentação e 150 minutos de atividade física por semana, teve 58% menos casos novos do que o grupo placebo.
Não é promessa individual. É a ciência mostrando que a rotina importa, e é por isso que o nosso cuidado começa nela.
Neste sábado, 14/11, é o Dia Mundial do Diabetes.
Fonte: Diabetes Prevention Program Research Group, N Engl J Med, 2002.
#fairhealth #medicinadoestilodevida #diamundialdodiabetes #saudecorporativa #prevencao</t>
  </si>
  <si>
    <t xml:space="preserve">No sábado, 14/11, story do Dia Mundial do Diabetes com o slide 4 e o link para o post.</t>
  </si>
  <si>
    <t xml:space="preserve">Diabetes Prevention Program Research Group. Reduction in the incidence of type 2 diabetes with lifestyle intervention or metformin. N Engl J Med. 2002;346(6):393-403. doi:10.1056/NEJMoa012512</t>
  </si>
  <si>
    <t xml:space="preserve">A responsável médica valida a leitura do estudo. Deixar claro que o estudo foi com adultos com risco aumentado e que não é promessa individual.</t>
  </si>
  <si>
    <t xml:space="preserve">Encerramento da apresentação inicial com orientação para o RH</t>
  </si>
  <si>
    <t xml:space="preserve">Post 12</t>
  </si>
  <si>
    <t xml:space="preserve">Como levar a fairhealth para a sua empresa?</t>
  </si>
  <si>
    <t xml:space="preserve">Fechar a apresentação inicial com um caminho claro e simples para o RH.</t>
  </si>
  <si>
    <t xml:space="preserve">Um caminho claro para o RH, sem preço e sem promessa.</t>
  </si>
  <si>
    <t xml:space="preserve">Vem de: P11, a ciência por trás do cuidado. Recapitula os 4 blocos e fecha a programação.</t>
  </si>
  <si>
    <t xml:space="preserve">Passos numerados no fio contínuo. Capa Tiffany. Último slide com logo e slogan.</t>
  </si>
  <si>
    <t xml:space="preserve">Nas últimas semanas, a gente contou quem é a fairhealth, por que cuidar antes, como o cuidado funciona na prática e por que acreditar nele.
Se você é de RH e quer levar esse cuidado para a sua empresa, o caminho tem três passos: um diagnóstico para entender as necessidades do seu time, uma proposta personalizada e a implementação, com os primeiros atendimentos.
Fale com a gente pelo direct.
Fazemos o certo pelos motivos certos.
#fairhealth #saudecorporativa #rh #gestaodepessoas #medicinapreventiva</t>
  </si>
  <si>
    <t xml:space="preserve">Sequência com os 3 passos e o adesivo de link ou "Mande uma mensagem".</t>
  </si>
  <si>
    <t xml:space="preserve">One-pager (11/10): "Vem com a gente!" (diagnóstico, proposta personalizada, implementação).</t>
  </si>
  <si>
    <t xml:space="preserve">"Diagnóstico" sem "gratuito". Não citar prazos de cada etapa. Definir quem responde o direct.</t>
  </si>
  <si>
    <t xml:space="preserve">Roteiros: cena por cena (reels) e slide por slide (carrosséis)</t>
  </si>
  <si>
    <t xml:space="preserve">Título, formato e data vêm da aba Cronograma pelo ID. "Fala" só existe nos reels falados.</t>
  </si>
  <si>
    <t xml:space="preserve">Post</t>
  </si>
  <si>
    <t xml:space="preserve">Parte</t>
  </si>
  <si>
    <t xml:space="preserve">Texto na tela / no slide</t>
  </si>
  <si>
    <t xml:space="preserve">Fala (reels)</t>
  </si>
  <si>
    <t xml:space="preserve">Visual e direção</t>
  </si>
  <si>
    <t xml:space="preserve">Observação</t>
  </si>
  <si>
    <t xml:space="preserve">0 a 3 s</t>
  </si>
  <si>
    <t xml:space="preserve">O que é a fairhealth, em 40 segundos</t>
  </si>
  <si>
    <t xml:space="preserve">Plano médio, olhar na câmera. Texto entra em cima.</t>
  </si>
  <si>
    <t xml:space="preserve">Gancho: a frase precisa vir antes de qualquer apresentação.</t>
  </si>
  <si>
    <t xml:space="preserve">3 a 12 s</t>
  </si>
  <si>
    <t xml:space="preserve">Medicina preventiva, dentro da empresa</t>
  </si>
  <si>
    <t xml:space="preserve">A fairhealth leva medicina preventiva para dentro da empresa. Médicos e psicólogos perto de quem trabalha, com um plano de cuidado para cada pessoa.</t>
  </si>
  <si>
    <t xml:space="preserve">Mesmo plano, leve aproximação no fim.</t>
  </si>
  <si>
    <t xml:space="preserve">12 a 22 s</t>
  </si>
  <si>
    <t xml:space="preserve">O que é importante para você?</t>
  </si>
  <si>
    <t xml:space="preserve">Esse cuidado acontece no Escritório do Cuidado. E começa sempre com a mesma pergunta: o que é importante para você?</t>
  </si>
  <si>
    <t xml:space="preserve">Corte para plano mais fechado na pergunta.</t>
  </si>
  <si>
    <t xml:space="preserve">A pergunta é o elemento da marca: destaque em negrito itálico.</t>
  </si>
  <si>
    <t xml:space="preserve">22 a 32 s</t>
  </si>
  <si>
    <t xml:space="preserve">Um plano que cabe na rotina</t>
  </si>
  <si>
    <t xml:space="preserve">A partir da resposta, a gente monta um plano que cabe na rotina e acompanha de perto.</t>
  </si>
  <si>
    <t xml:space="preserve">Volta ao plano médio.</t>
  </si>
  <si>
    <t xml:space="preserve">32 a 40 s</t>
  </si>
  <si>
    <t xml:space="preserve">Tudo começou num hospital, em 2009</t>
  </si>
  <si>
    <t xml:space="preserve">Mas essa pergunta não nasceu numa empresa. Ela nasceu num hospital, em 2009. No próximo post, eu te conto essa história.</t>
  </si>
  <si>
    <t xml:space="preserve">Fecha com o logo sobre fundo Tiffany nos 2 últimos segundos.</t>
  </si>
  <si>
    <t xml:space="preserve">Ponte para o P02.</t>
  </si>
  <si>
    <t xml:space="preserve">Slide 1 · capa</t>
  </si>
  <si>
    <t xml:space="preserve">Antes de chegar às empresas, nossa história começou em um hospital.
2009 → hoje</t>
  </si>
  <si>
    <t xml:space="preserve">Luz tiffany sobre verde-noite. O fio nasce num ponto embaixo, à esquerda.</t>
  </si>
  <si>
    <t xml:space="preserve">Etiqueta "Nossa história".</t>
  </si>
  <si>
    <t xml:space="preserve">Slide 2 · o início</t>
  </si>
  <si>
    <t xml:space="preserve">2009
Dentro de um hospital, surgiu o Escritório do Paciente.
Um modelo de cuidado que colocava a escuta e as necessidades de cada pessoa no centro da atenção.</t>
  </si>
  <si>
    <t xml:space="preserve">Fundo Tiffany, "2009" grande em verde-escuro. Ponto no fio marcado "2009".</t>
  </si>
  <si>
    <t xml:space="preserve">Slide 3 · a essência</t>
  </si>
  <si>
    <t xml:space="preserve">Por trás de cada atendimento, existe uma pessoa.
Com a sua própria história, hábitos, necessidades e prioridades. Por isso, escutar sempre foi parte essencial da nossa maneira de cuidar.</t>
  </si>
  <si>
    <t xml:space="preserve">Fundo verde, palavra-chave em Tiffany.</t>
  </si>
  <si>
    <t xml:space="preserve">Slide 4 · evolução</t>
  </si>
  <si>
    <t xml:space="preserve">Com o tempo, essa forma de cuidar evoluiu.
E surgiu a possibilidade de aproximar o cuidado preventivo de um lugar que faz parte da rotina das pessoas: o trabalho.</t>
  </si>
  <si>
    <t xml:space="preserve">Fundo Tiffany. O fio sobe.</t>
  </si>
  <si>
    <t xml:space="preserve">"Milhões de pessoas" saiu: número sem fonte.</t>
  </si>
  <si>
    <t xml:space="preserve">Slide 5 · hoje</t>
  </si>
  <si>
    <t xml:space="preserve">Hoje, essa filosofia está presente na fairhealth.
Levamos cuidado individualizado, prevenção e acompanhamento para dentro das empresas, conectando profissionais de saúde, conhecimento e tecnologia.
O Escritório do Paciente virou o Escritório do Cuidado.</t>
  </si>
  <si>
    <t xml:space="preserve">Fundo verde. Ponto no fio marcado "hoje".</t>
  </si>
  <si>
    <t xml:space="preserve">Slide 6 · o propósito</t>
  </si>
  <si>
    <t xml:space="preserve">Os lugares mudaram. A essência do cuidado permanece.
Da experiência hospitalar ao ambiente corporativo, seguimos com um mesmo princípio: o cuidado começa pela pessoa.</t>
  </si>
  <si>
    <t xml:space="preserve">Fundo Tiffany. O fio termina no logo.</t>
  </si>
  <si>
    <t xml:space="preserve">Cuidar da saúde não deveria começar quando algo vai mal.
Arraste e volte no tempo →</t>
  </si>
  <si>
    <t xml:space="preserve">Fundo Tiffany. O fio começa na borda direita.</t>
  </si>
  <si>
    <t xml:space="preserve">Slide 2</t>
  </si>
  <si>
    <t xml:space="preserve">O afastamento.
É aqui que, muitas vezes, o cuidado começa.</t>
  </si>
  <si>
    <t xml:space="preserve">Fundo verde. Primeiro ponto no fio: "afastamento".</t>
  </si>
  <si>
    <t xml:space="preserve">Slide 3</t>
  </si>
  <si>
    <t xml:space="preserve">Antes dele, teve um atestado.</t>
  </si>
  <si>
    <t xml:space="preserve">Fundo Tiffany. Segundo ponto: "atestado".</t>
  </si>
  <si>
    <t xml:space="preserve">Slide 4</t>
  </si>
  <si>
    <t xml:space="preserve">Antes do atestado, teve uma semana pesada.</t>
  </si>
  <si>
    <t xml:space="preserve">Fundo verde. Terceiro ponto: "semana pesada".</t>
  </si>
  <si>
    <t xml:space="preserve">Slide 5</t>
  </si>
  <si>
    <t xml:space="preserve">Antes da semana pesada, teve uma noite sem dormir.</t>
  </si>
  <si>
    <t xml:space="preserve">Fundo Tiffany. Quarto ponto: "noite sem dormir".</t>
  </si>
  <si>
    <t xml:space="preserve">Slide 6</t>
  </si>
  <si>
    <t xml:space="preserve">E antes de tudo isso, ninguém perguntou:
o que é importante para você?</t>
  </si>
  <si>
    <t xml:space="preserve">Fundo verde, pergunta grande em Tiffany, negrito itálico. O fio chega ao começo.</t>
  </si>
  <si>
    <t xml:space="preserve">O coração do post.</t>
  </si>
  <si>
    <t xml:space="preserve">Slide 7</t>
  </si>
  <si>
    <t xml:space="preserve">O cuidado reativo entra quando a doença já apareceu.
O preventivo entra antes: na rotina e nos primeiros sinais.</t>
  </si>
  <si>
    <t xml:space="preserve">Fundo creme, duas linhas comparadas, com o fio separando.</t>
  </si>
  <si>
    <t xml:space="preserve">Slide 8 · fechamento</t>
  </si>
  <si>
    <t xml:space="preserve">Cuidar antes. É para isso que a fairhealth existe.
Salve e mande para quem cuida das pessoas na sua empresa.</t>
  </si>
  <si>
    <t xml:space="preserve">Fundo Tiffany, logo no fim do fio.</t>
  </si>
  <si>
    <t xml:space="preserve">Chamada para salvar e compartilhar.</t>
  </si>
  <si>
    <t xml:space="preserve">Fundo verde, texto creme.</t>
  </si>
  <si>
    <t xml:space="preserve">Gancho.</t>
  </si>
  <si>
    <t xml:space="preserve">3 a 8 s</t>
  </si>
  <si>
    <t xml:space="preserve">Em 2024, o Brasil registrou mais de 470 mil licenças do trabalho por saúde mental.</t>
  </si>
  <si>
    <t xml:space="preserve">Fundo Tiffany. Número em destaque suave. Fonte no rodapé: Ministério da Previdência Social.</t>
  </si>
  <si>
    <t xml:space="preserve">Conferir o número antes.</t>
  </si>
  <si>
    <t xml:space="preserve">8 a 11 s</t>
  </si>
  <si>
    <t xml:space="preserve">O maior número em dez anos.</t>
  </si>
  <si>
    <t xml:space="preserve">Texto menor, calmo.</t>
  </si>
  <si>
    <t xml:space="preserve">11 a 15 s</t>
  </si>
  <si>
    <t xml:space="preserve">Não falta só plano de saúde.
Falta cuidado perto.</t>
  </si>
  <si>
    <t xml:space="preserve">Fundo verde, "perto" em Tiffany.</t>
  </si>
  <si>
    <t xml:space="preserve">15 a 19 s</t>
  </si>
  <si>
    <t xml:space="preserve">Tempo: quem vai ao médico no meio do expediente?</t>
  </si>
  <si>
    <t xml:space="preserve">Fundo Tiffany. Etiqueta "barreira 1".</t>
  </si>
  <si>
    <t xml:space="preserve">19 a 23 s</t>
  </si>
  <si>
    <t xml:space="preserve">Acesso: o cuidado fica longe de onde a pessoa está.</t>
  </si>
  <si>
    <t xml:space="preserve">Fundo verde. Etiqueta "barreira 2".</t>
  </si>
  <si>
    <t xml:space="preserve">23 a 27 s</t>
  </si>
  <si>
    <t xml:space="preserve">Continuidade: uma consulta não é acompanhamento.</t>
  </si>
  <si>
    <t xml:space="preserve">Fundo Tiffany. Etiqueta "barreira 3".</t>
  </si>
  <si>
    <t xml:space="preserve">27 a 30 s</t>
  </si>
  <si>
    <t xml:space="preserve">Quando o cuidado está perto, ele vira rotina.</t>
  </si>
  <si>
    <t xml:space="preserve">Logo no fim, sobre Tiffany.</t>
  </si>
  <si>
    <t xml:space="preserve">Imagem única</t>
  </si>
  <si>
    <t xml:space="preserve">Prevenção também é investimento.
O que os estudos apontam:
−28% de absenteísmo · Harvard Business Review, 2022
−22% de custos com saúde · SHRM, 2023</t>
  </si>
  <si>
    <t xml:space="preserve">Luz tiffany sobre verde-noite. Números em Tiffany, fontes em texto pequeno.</t>
  </si>
  <si>
    <t xml:space="preserve">Arte pronta.</t>
  </si>
  <si>
    <t xml:space="preserve">Prevenção não é campanha. É rotina.
Como levar o cuidado para o dia a dia da empresa, em 5 movimentos.</t>
  </si>
  <si>
    <t xml:space="preserve">Fundo Tiffany, título grande e fino.</t>
  </si>
  <si>
    <t xml:space="preserve">1. Levar o cuidado para perto.
Médicos e psicólogos dentro da empresa, em plantões alternados. Sem precisar sair do trabalho para ser cuidado.</t>
  </si>
  <si>
    <t xml:space="preserve">Fundo verde. Ponto 1 no fio.</t>
  </si>
  <si>
    <t xml:space="preserve">2. Começar pela escuta.
Antes de exame e de número, uma pergunta: o que é importante para você?</t>
  </si>
  <si>
    <t xml:space="preserve">Fundo Tiffany. Ponto 2.</t>
  </si>
  <si>
    <t xml:space="preserve">3. Montar um plano que caiba na rotina.
Ações pequenas nos pilares da Medicina do Estilo de Vida, a partir da vida real de cada pessoa.</t>
  </si>
  <si>
    <t xml:space="preserve">Fundo verde. Ponto 3.</t>
  </si>
  <si>
    <t xml:space="preserve">4. Acompanhar de forma contínua.
Retornos, plataforma digital e wearables: o cuidado não para quando a consulta acaba.</t>
  </si>
  <si>
    <t xml:space="preserve">Fundo Tiffany. Ponto 4.</t>
  </si>
  <si>
    <t xml:space="preserve">5. Dar ao RH uma visão do todo.
Indicadores do grupo, anonimizados. O que cada pessoa conta fica entre ela e quem cuida.</t>
  </si>
  <si>
    <t xml:space="preserve">Fundo verde. Ponto 5.</t>
  </si>
  <si>
    <t xml:space="preserve">Slide 7 · fechamento</t>
  </si>
  <si>
    <t xml:space="preserve">É assim que a fairhealth trabalha: cuidado perto, contínuo e feito para cada pessoa.
Salve para mostrar ao seu time.</t>
  </si>
  <si>
    <t xml:space="preserve">Como funciona o cuidado na prática?
A jornada de uma pessoa no Escritório do Cuidado.</t>
  </si>
  <si>
    <t xml:space="preserve">Fundo Tiffany.</t>
  </si>
  <si>
    <t xml:space="preserve">Esta é a Clara.
41 anos, supervisora de turno.</t>
  </si>
  <si>
    <t xml:space="preserve">Fundo verde, sem foto. Rodapé "História ilustrativa. Personagem fictícia."</t>
  </si>
  <si>
    <t xml:space="preserve">1. Escuta
A primeira pergunta foi: o que é importante para você?
"Quero voltar a ter energia para brincar com meu filho."</t>
  </si>
  <si>
    <t xml:space="preserve">Fundo Tiffany, a resposta em negrito itálico.</t>
  </si>
  <si>
    <t xml:space="preserve">2. Anamnese e medições
Questionário de estilo de vida, bioimpedância e uma smartband por 48 horas, para entender a rotina real.</t>
  </si>
  <si>
    <t xml:space="preserve">Fundo verde, ícones finos.</t>
  </si>
  <si>
    <t xml:space="preserve">Etapas conferidas pela responsável médica.</t>
  </si>
  <si>
    <t xml:space="preserve">3. Plano de Cuidado Individualizado
Dormir 30 minutos mais cedo · Caminhar 10 minutos no almoço · Conversar com a psicóloga a cada 15 dias</t>
  </si>
  <si>
    <t xml:space="preserve">Card de interface do plano, sobre fundo Tiffany.</t>
  </si>
  <si>
    <t xml:space="preserve">4. Acompanhamento
Retornos com médicos e psicólogos, e o plano registrado na plataforma digital. Se a vida muda, o plano muda junto.</t>
  </si>
  <si>
    <t xml:space="preserve">Fundo verde.</t>
  </si>
  <si>
    <t xml:space="preserve">Cabe na rotina dela, no turno dela.
Não numa rotina ideal.</t>
  </si>
  <si>
    <t xml:space="preserve">Fundo creme, frase grande.</t>
  </si>
  <si>
    <t xml:space="preserve">E para você, o que é importante?
Conta pra gente nos comentários.</t>
  </si>
  <si>
    <t xml:space="preserve">Fundo Tiffany, logo.</t>
  </si>
  <si>
    <t xml:space="preserve">Pergunta aberta: gera comentários.</t>
  </si>
  <si>
    <t xml:space="preserve">O fio entra pela esquerda sobre fundo Tiffany.</t>
  </si>
  <si>
    <t xml:space="preserve">Escritório do Cuidado
Médicos e psicólogos dentro da empresa.</t>
  </si>
  <si>
    <t xml:space="preserve">Ponto 1 no fio, ícone de porta ou sala.</t>
  </si>
  <si>
    <t xml:space="preserve">8 a 13 s</t>
  </si>
  <si>
    <t xml:space="preserve">Programa de Medicina do Estilo de Vida
Letramento e sensibilização para todos.</t>
  </si>
  <si>
    <t xml:space="preserve">Ponto 2, ícone de livro ou folha.</t>
  </si>
  <si>
    <t xml:space="preserve">13 a 18 s</t>
  </si>
  <si>
    <t xml:space="preserve">Plataforma digital
Prontuário, histórico e metas.</t>
  </si>
  <si>
    <t xml:space="preserve">Ponto 3, ícone de tela.</t>
  </si>
  <si>
    <t xml:space="preserve">18 a 23 s</t>
  </si>
  <si>
    <t xml:space="preserve">Wearables
Monitoramento contínuo e bioimpedância.</t>
  </si>
  <si>
    <t xml:space="preserve">Ponto 4, ícone de relógio ou pulseira.</t>
  </si>
  <si>
    <t xml:space="preserve">Tudo ligado, com a pessoa no centro.</t>
  </si>
  <si>
    <t xml:space="preserve">O fio liga os quatro pontos e se fecha em volta da palavra "pessoa".</t>
  </si>
  <si>
    <t xml:space="preserve">fairhealth
Fazemos o certo pelos motivos certos.</t>
  </si>
  <si>
    <t xml:space="preserve">Logo sobre Tiffany.</t>
  </si>
  <si>
    <t xml:space="preserve">A fairhealth é nova. O jeito de cuidar, não.
A linha do tempo do nosso método, de 2007 até hoje.</t>
  </si>
  <si>
    <t xml:space="preserve">2007 · Triple Aim
A saúde passa a olhar, ao mesmo tempo, para qualidade, acesso e custo.</t>
  </si>
  <si>
    <t xml:space="preserve">Fundo verde, ano grande em Tiffany.</t>
  </si>
  <si>
    <t xml:space="preserve">Conferir a descrição (IHI).</t>
  </si>
  <si>
    <t xml:space="preserve">2009 · Escritório do Paciente
Num hospital, nasce um jeito de colocar o paciente no centro do cuidado.</t>
  </si>
  <si>
    <t xml:space="preserve">Liga ao P02.</t>
  </si>
  <si>
    <t xml:space="preserve">O que mudou no hospital
As reclamações caíram de 34 para cerca de 20 por mês.</t>
  </si>
  <si>
    <t xml:space="preserve">Fundo verde, número calmo.</t>
  </si>
  <si>
    <t xml:space="preserve">Sem o nome do hospital.</t>
  </si>
  <si>
    <t xml:space="preserve">2014 · Quadruple Aim
Entra a quarta meta: cuidar também de quem cuida.</t>
  </si>
  <si>
    <t xml:space="preserve">2021 · Quintuple Aim
Entra a equidade: cuidado justo para todas as pessoas.</t>
  </si>
  <si>
    <t xml:space="preserve">2024 e 2025 · Escritório do Cuidado
O modelo sai do hospital e entra na empresa, com a Medicina do Estilo de Vida.</t>
  </si>
  <si>
    <t xml:space="preserve">Desde 2009, a mesma ideia: a pessoa no centro do cuidado.</t>
  </si>
  <si>
    <t xml:space="preserve">Fundo verde, o fio termina no logo.</t>
  </si>
  <si>
    <t xml:space="preserve">Plano médio, olhar na câmera.</t>
  </si>
  <si>
    <t xml:space="preserve">8 em cada 10 voltaram
(uma indústria atendida, 1º semestre de 2026)</t>
  </si>
  <si>
    <t xml:space="preserve">Numa indústria que a gente atende, no primeiro semestre de 2026, 8 em cada 10 pessoas voltaram para mais de um atendimento.</t>
  </si>
  <si>
    <t xml:space="preserve">Número entra na tela em Tiffany.</t>
  </si>
  <si>
    <t xml:space="preserve">12 a 20 s</t>
  </si>
  <si>
    <t xml:space="preserve">98% de adesão</t>
  </si>
  <si>
    <t xml:space="preserve">E a adesão ao programa chegou a 98%.</t>
  </si>
  <si>
    <t xml:space="preserve">Número em texto menor.</t>
  </si>
  <si>
    <t xml:space="preserve">20 a 32 s</t>
  </si>
  <si>
    <t xml:space="preserve">Perto · com escuta · para cada pessoa</t>
  </si>
  <si>
    <t xml:space="preserve">Isso não acontece por obrigação. Acontece porque o cuidado está perto, começa por uma conversa e é feito para cada pessoa.</t>
  </si>
  <si>
    <t xml:space="preserve">Plano mais fechado.</t>
  </si>
  <si>
    <t xml:space="preserve">Na quarta: a ciência por trás desse cuidado</t>
  </si>
  <si>
    <t xml:space="preserve">Na quarta, a gente mostra a ciência por trás desse jeito de cuidar.</t>
  </si>
  <si>
    <t xml:space="preserve">Logo sobre Tiffany no fim.</t>
  </si>
  <si>
    <t xml:space="preserve">Ponte para o P11.</t>
  </si>
  <si>
    <t xml:space="preserve">Neste sábado, 14/11, é o Dia Mundial do Diabetes.
Vale lembrar de um estudo que mudou a forma de cuidar.</t>
  </si>
  <si>
    <t xml:space="preserve">Mais de 3 mil adultos com risco aumentado de diabetes tipo 2 foram acompanhados por quase 3 anos.</t>
  </si>
  <si>
    <t xml:space="preserve">Quem mudou a rotina (alimentação e 150 minutos de atividade física por semana) teve 58% menos casos novos do que o grupo placebo.</t>
  </si>
  <si>
    <t xml:space="preserve">Fundo verde, "58%" em Tiffany, calmo.</t>
  </si>
  <si>
    <t xml:space="preserve">Mais do que o grupo que recebeu medicamento (31%).</t>
  </si>
  <si>
    <t xml:space="preserve">Texto menor.</t>
  </si>
  <si>
    <t xml:space="preserve">Não é promessa: é a ciência dizendo que a rotina importa. Por isso o nosso cuidado começa nela, com um plano feito para cada pessoa.</t>
  </si>
  <si>
    <t xml:space="preserve">O que é importante para você?
Fonte: Diabetes Prevention Program, N Engl J Med, 2002.</t>
  </si>
  <si>
    <t xml:space="preserve">Fundo verde, logo.</t>
  </si>
  <si>
    <t xml:space="preserve">Nestas semanas, você conheceu:
quem somos · por que cuidar antes · como o cuidado funciona · por que acreditar</t>
  </si>
  <si>
    <t xml:space="preserve">Fundo verde, os quatro blocos no fio.</t>
  </si>
  <si>
    <t xml:space="preserve">Recapitulação.</t>
  </si>
  <si>
    <t xml:space="preserve">Passo 1 · Diagnóstico
Uma reunião para mapear as necessidades da sua empresa.</t>
  </si>
  <si>
    <t xml:space="preserve">Sem "gratuito".</t>
  </si>
  <si>
    <t xml:space="preserve">Passo 2 · Proposta personalizada
Um programa sob medida para o seu time.</t>
  </si>
  <si>
    <t xml:space="preserve">Passo 3 · Implementação
Onboarding e primeiros atendimentos.</t>
  </si>
  <si>
    <t xml:space="preserve">Slide 6 · fechamento</t>
  </si>
  <si>
    <t xml:space="preserve">Quer levar esse cuidado para a sua empresa? Fale com a gente pelo direct.
Fazemos o certo pelos motivos certos.</t>
  </si>
  <si>
    <t xml:space="preserve">Fundo verde, logo e slogan.</t>
  </si>
  <si>
    <t xml:space="preserve">Os 4 blocos da programação</t>
  </si>
  <si>
    <t xml:space="preserve">Quantidade e datas calculadas a partir da aba Cronograma.</t>
  </si>
  <si>
    <t xml:space="preserve">Pergunta que responde</t>
  </si>
  <si>
    <t xml:space="preserve">Intuito</t>
  </si>
  <si>
    <t xml:space="preserve">Posts</t>
  </si>
  <si>
    <t xml:space="preserve">Nº de posts</t>
  </si>
  <si>
    <t xml:space="preserve">Primeira data</t>
  </si>
  <si>
    <t xml:space="preserve">Última data</t>
  </si>
  <si>
    <t xml:space="preserve">Quem somos e por que existimos?</t>
  </si>
  <si>
    <t xml:space="preserve">Apresentar a marca e criar vínculo com a origem. Quem chega ao perfil entende quem é a fairhealth, de onde ela vem e quem está por trás do cuidado.</t>
  </si>
  <si>
    <t xml:space="preserve">P01, P02</t>
  </si>
  <si>
    <t xml:space="preserve">Por que as empresas precisam olhar para isso?</t>
  </si>
  <si>
    <t xml:space="preserve">Fazer o RH se reconhecer no problema: o cuidado costuma chegar tarde, quando a doença já apareceu. A prevenção precisa fazer parte da rotina.</t>
  </si>
  <si>
    <t xml:space="preserve">P03, P04, P05, P06</t>
  </si>
  <si>
    <t xml:space="preserve">Como a fairhealth transforma isso em cuidado real?</t>
  </si>
  <si>
    <t xml:space="preserve">Mostrar como o cuidado funciona na prática, pela experiência de quem é atendido, sem repetir a apresentação do Escritório do Cuidado.</t>
  </si>
  <si>
    <t xml:space="preserve">P07, P08</t>
  </si>
  <si>
    <t xml:space="preserve">Por que acreditar na metodologia e na empresa?</t>
  </si>
  <si>
    <t xml:space="preserve">Dar provas (a trajetória do método, os resultados e a ciência) e fechar com um caminho claro para o RH.</t>
  </si>
  <si>
    <t xml:space="preserve">P09, P10, P11, P12</t>
  </si>
  <si>
    <t xml:space="preserve">Já publicados antes desta programação: "O que é a fairhealth?" e "Conheça o Escritório do Cuidado". O post do time (03) segue segurado.</t>
  </si>
  <si>
    <t xml:space="preserve">O que validar antes de publicar</t>
  </si>
  <si>
    <t xml:space="preserve">Mude a situação para "Resolvida" quando a validação for feita.</t>
  </si>
  <si>
    <t xml:space="preserve">#</t>
  </si>
  <si>
    <t xml:space="preserve">O que validar</t>
  </si>
  <si>
    <t xml:space="preserve">Quem confirma</t>
  </si>
  <si>
    <t xml:space="preserve">Situação</t>
  </si>
  <si>
    <t xml:space="preserve">P01, P10</t>
  </si>
  <si>
    <t xml:space="preserve">Autorização de uso de imagem do Dr. Ronald e como creditá-lo. Exceção à decisão de 09/10 de não ter o time em cena (o post do time segue segurado).</t>
  </si>
  <si>
    <t xml:space="preserve">Sócios e Dr. Ronald</t>
  </si>
  <si>
    <t xml:space="preserve">Aberta</t>
  </si>
  <si>
    <t xml:space="preserve">Ano de 2009 e passagem do Escritório do Paciente para o Escritório do Cuidado (2024 e 2025).</t>
  </si>
  <si>
    <t xml:space="preserve">Time fairhealth</t>
  </si>
  <si>
    <t xml:space="preserve">Número de licenças por saúde mental de 2024 no painel oficial do Ministério da Previdência.</t>
  </si>
  <si>
    <t xml:space="preserve">Comunicação</t>
  </si>
  <si>
    <t xml:space="preserve">O que os estudos da HBR (2022) e da SHRM (2023) mediram: tipo de programa e população.</t>
  </si>
  <si>
    <t xml:space="preserve">Comunicação e responsável médica</t>
  </si>
  <si>
    <t xml:space="preserve">Indicadores que entram no relatório do RH (fairdata).</t>
  </si>
  <si>
    <t xml:space="preserve">Time fairhealth e fairdata</t>
  </si>
  <si>
    <t xml:space="preserve">Com a Clara (personagem fictícia, sinalizada) ou sem personagem. Etapas clínicas e plausibilidade do plano.</t>
  </si>
  <si>
    <t xml:space="preserve">Nina e responsável médica</t>
  </si>
  <si>
    <t xml:space="preserve">Datas e descrição dos Aims; números do caso do hospital liberados e sem o nome. "Validado no SUS" fica de fora.</t>
  </si>
  <si>
    <t xml:space="preserve">Números liberados (8 em cada 10 e 98% de adesão), sempre sem o nome da indústria.</t>
  </si>
  <si>
    <t xml:space="preserve">Sócios</t>
  </si>
  <si>
    <t xml:space="preserve">Leitura do Diabetes Prevention Program: adultos com risco aumentado, não é promessa individual.</t>
  </si>
  <si>
    <t xml:space="preserve">Responsável médica</t>
  </si>
  <si>
    <t xml:space="preserve">"Diagnóstico" sem "gratuito". Quem responde o direct.</t>
  </si>
  <si>
    <t xml:space="preserve">Todos</t>
  </si>
  <si>
    <t xml:space="preserve">Fotos e imagens com licença e origem confirmadas.</t>
  </si>
  <si>
    <t xml:space="preserve">Abertas</t>
  </si>
  <si>
    <t xml:space="preserve">Listas e datas de apoio</t>
  </si>
  <si>
    <t xml:space="preserve">Feriados (fora dos prazos)</t>
  </si>
  <si>
    <t xml:space="preserve">Datas especiais (no calendário)</t>
  </si>
  <si>
    <t xml:space="preserve">Formatos</t>
  </si>
  <si>
    <t xml:space="preserve">Blocos</t>
  </si>
  <si>
    <t xml:space="preserve">Nossa Senhora Aparecida</t>
  </si>
  <si>
    <t xml:space="preserve">Finados (feriado)</t>
  </si>
  <si>
    <t xml:space="preserve">Ideia</t>
  </si>
  <si>
    <t xml:space="preserve">Finados</t>
  </si>
  <si>
    <t xml:space="preserve">Dia Mundial do Diabetes</t>
  </si>
  <si>
    <t xml:space="preserve">Resolvida</t>
  </si>
  <si>
    <t xml:space="preserve">Proclamação da República</t>
  </si>
  <si>
    <t xml:space="preserve">Proclamação da República (feriado)</t>
  </si>
  <si>
    <t xml:space="preserve">Consciência Negra</t>
  </si>
  <si>
    <t xml:space="preserve">Em produção</t>
  </si>
  <si>
    <t xml:space="preserve">Em aprovação</t>
  </si>
  <si>
    <t xml:space="preserve">Aprovado</t>
  </si>
  <si>
    <t xml:space="preserve">Agendado</t>
  </si>
  <si>
    <t xml:space="preserve">Publicado</t>
  </si>
</sst>
</file>

<file path=xl/styles.xml><?xml version="1.0" encoding="utf-8"?>
<styleSheet xmlns="http://schemas.openxmlformats.org/spreadsheetml/2006/main">
  <numFmts count="5">
    <numFmt numFmtId="164" formatCode="General"/>
    <numFmt numFmtId="165" formatCode="dd/mm/yyyy"/>
    <numFmt numFmtId="166" formatCode="0"/>
    <numFmt numFmtId="167" formatCode="dd/mm"/>
    <numFmt numFmtId="168"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A36"/>
      <name val="Arial"/>
      <family val="0"/>
      <charset val="1"/>
    </font>
    <font>
      <sz val="10"/>
      <color rgb="FF1F3A36"/>
      <name val="Arial"/>
      <family val="0"/>
      <charset val="1"/>
    </font>
    <font>
      <b val="true"/>
      <sz val="10"/>
      <color rgb="FF1F3A36"/>
      <name val="Arial"/>
      <family val="0"/>
      <charset val="1"/>
    </font>
    <font>
      <b val="true"/>
      <sz val="10"/>
      <color rgb="FF0000FF"/>
      <name val="Arial"/>
      <family val="0"/>
      <charset val="1"/>
    </font>
    <font>
      <i val="true"/>
      <sz val="10"/>
      <color rgb="FF2F6B64"/>
      <name val="Arial"/>
      <family val="0"/>
      <charset val="1"/>
    </font>
    <font>
      <sz val="8"/>
      <color rgb="FF2F6B64"/>
      <name val="Arial"/>
      <family val="0"/>
      <charset val="1"/>
    </font>
    <font>
      <b val="true"/>
      <sz val="8"/>
      <color rgb="FF1F3A36"/>
      <name val="Arial"/>
      <family val="0"/>
      <charset val="1"/>
    </font>
    <font>
      <sz val="10"/>
      <color rgb="FF0000FF"/>
      <name val="Arial"/>
      <family val="0"/>
      <charset val="1"/>
    </font>
    <font>
      <sz val="10"/>
      <name val="Arial"/>
      <family val="2"/>
    </font>
    <font>
      <b val="true"/>
      <sz val="10"/>
      <color rgb="FFFFFFFF"/>
      <name val="Arial"/>
      <family val="0"/>
      <charset val="1"/>
    </font>
    <font>
      <sz val="8"/>
      <color rgb="FF1F3A36"/>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96C5BD"/>
        <bgColor rgb="FFC0C0C0"/>
      </patternFill>
    </fill>
    <fill>
      <patternFill patternType="solid">
        <fgColor rgb="FF1F3A36"/>
        <bgColor rgb="FF333300"/>
      </patternFill>
    </fill>
    <fill>
      <patternFill patternType="solid">
        <fgColor rgb="FFFFFFFF"/>
        <bgColor rgb="FFF0F0E9"/>
      </patternFill>
    </fill>
    <fill>
      <patternFill patternType="solid">
        <fgColor rgb="FFF0F0E9"/>
        <bgColor rgb="FFEEEEEE"/>
      </patternFill>
    </fill>
  </fills>
  <borders count="6">
    <border diagonalUp="false" diagonalDown="false">
      <left/>
      <right/>
      <top/>
      <bottom/>
      <diagonal/>
    </border>
    <border diagonalUp="false" diagonalDown="false">
      <left style="thin">
        <color rgb="FFC9D6D2"/>
      </left>
      <right style="thin">
        <color rgb="FFC9D6D2"/>
      </right>
      <top style="thin">
        <color rgb="FFC9D6D2"/>
      </top>
      <bottom style="thin">
        <color rgb="FFC9D6D2"/>
      </bottom>
      <diagonal/>
    </border>
    <border diagonalUp="false" diagonalDown="false">
      <left style="thin">
        <color rgb="FF1F3A36"/>
      </left>
      <right style="thin">
        <color rgb="FF1F3A36"/>
      </right>
      <top style="thin">
        <color rgb="FF1F3A36"/>
      </top>
      <bottom style="thin">
        <color rgb="FF1F3A36"/>
      </bottom>
      <diagonal/>
    </border>
    <border diagonalUp="false" diagonalDown="false">
      <left style="thin">
        <color rgb="FFC9D6D2"/>
      </left>
      <right style="thin">
        <color rgb="FFC9D6D2"/>
      </right>
      <top style="thin">
        <color rgb="FFC9D6D2"/>
      </top>
      <bottom/>
      <diagonal/>
    </border>
    <border diagonalUp="false" diagonalDown="false">
      <left style="thin">
        <color rgb="FFC9D6D2"/>
      </left>
      <right style="thin">
        <color rgb="FFC9D6D2"/>
      </right>
      <top/>
      <bottom/>
      <diagonal/>
    </border>
    <border diagonalUp="false" diagonalDown="false">
      <left style="thin">
        <color rgb="FFC9D6D2"/>
      </left>
      <right style="thin">
        <color rgb="FFC9D6D2"/>
      </right>
      <top/>
      <bottom style="thin">
        <color rgb="FFC9D6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right" vertical="center" textRotation="0" wrapText="true" indent="0" shrinkToFit="false"/>
      <protection locked="true" hidden="false"/>
    </xf>
    <xf numFmtId="166" fontId="7"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7" fontId="10" fillId="3" borderId="1" xfId="0" applyFont="true" applyBorder="true" applyAlignment="true" applyProtection="false">
      <alignment horizontal="center" vertical="center" textRotation="9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true" indent="0" shrinkToFit="false"/>
      <protection locked="true" hidden="false"/>
    </xf>
    <xf numFmtId="164" fontId="6" fillId="5" borderId="2"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7" fontId="9" fillId="0" borderId="3" xfId="0" applyFont="true" applyBorder="true" applyAlignment="true" applyProtection="false">
      <alignment horizontal="left" vertical="bottom" textRotation="0" wrapText="fals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14" fillId="0" borderId="5" xfId="0" applyFont="true" applyBorder="true" applyAlignment="true" applyProtection="false">
      <alignment horizontal="center" vertical="center" textRotation="0" wrapText="true" indent="0" shrinkToFit="false"/>
      <protection locked="true" hidden="false"/>
    </xf>
    <xf numFmtId="168" fontId="6" fillId="0" borderId="0" xfId="0" applyFont="true" applyBorder="fals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5" fontId="5"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FFFFFF"/>
        <sz val="8"/>
      </font>
      <fill>
        <patternFill>
          <bgColor rgb="FF1F3A36"/>
        </patternFill>
      </fill>
    </dxf>
    <dxf>
      <font>
        <name val="Arial"/>
        <charset val="1"/>
        <family val="0"/>
        <b val="1"/>
        <color rgb="FFFFFFFF"/>
        <sz val="8"/>
      </font>
      <fill>
        <patternFill>
          <bgColor rgb="FF2F6B64"/>
        </patternFill>
      </fill>
    </dxf>
    <dxf>
      <font>
        <name val="Arial"/>
        <charset val="1"/>
        <family val="0"/>
        <b val="1"/>
        <color rgb="FF1F3A36"/>
        <sz val="8"/>
      </font>
      <fill>
        <patternFill>
          <bgColor rgb="FF96C5BD"/>
        </patternFill>
      </fill>
    </dxf>
    <dxf>
      <font>
        <name val="Arial"/>
        <charset val="1"/>
        <family val="0"/>
        <b val="1"/>
        <color rgb="FF1F3A36"/>
        <sz val="8"/>
      </font>
      <fill>
        <patternFill>
          <bgColor rgb="FFBFE0D9"/>
        </patternFill>
      </fill>
    </dxf>
    <dxf>
      <fill>
        <patternFill>
          <bgColor rgb="FFEEEEEE"/>
        </patternFill>
      </fill>
    </dxf>
    <dxf>
      <fill>
        <patternFill>
          <bgColor rgb="FF96C5BD"/>
        </patternFill>
      </fill>
    </dxf>
    <dxf>
      <font>
        <name val="Arial"/>
        <charset val="1"/>
        <family val="0"/>
        <b val="1"/>
        <color rgb="FFFFFFFF"/>
      </font>
      <fill>
        <patternFill>
          <bgColor rgb="FF1F3A36"/>
        </patternFill>
      </fill>
    </dxf>
    <dxf>
      <fill>
        <patternFill>
          <bgColor rgb="FFFFFFFF"/>
        </patternFill>
      </fill>
      <border diagonalUp="false" diagonalDown="false">
        <left style="thin">
          <color rgb="FF1F3A36"/>
        </left>
        <right style="thin">
          <color rgb="FF1F3A36"/>
        </right>
        <top style="thin">
          <color rgb="FF1F3A36"/>
        </top>
        <bottom/>
        <diagonal/>
      </border>
    </dxf>
    <dxf>
      <font>
        <name val="Arial"/>
        <charset val="1"/>
        <family val="0"/>
        <i val="1"/>
        <color rgb="FF2F6B64"/>
      </font>
    </dxf>
    <dxf>
      <fill>
        <patternFill>
          <bgColor rgb="FFFFFFFF"/>
        </patternFill>
      </fill>
      <border diagonalUp="false" diagonalDown="false">
        <left style="thin">
          <color rgb="FF1F3A36"/>
        </left>
        <right style="thin">
          <color rgb="FF1F3A36"/>
        </right>
        <top/>
        <bottom style="thin">
          <color rgb="FF1F3A36"/>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6B64"/>
      <rgbColor rgb="FFC0C0C0"/>
      <rgbColor rgb="FF808080"/>
      <rgbColor rgb="FF9999FF"/>
      <rgbColor rgb="FF993366"/>
      <rgbColor rgb="FFF0F0E9"/>
      <rgbColor rgb="FFEEEEEE"/>
      <rgbColor rgb="FF660066"/>
      <rgbColor rgb="FFFF8080"/>
      <rgbColor rgb="FF0066CC"/>
      <rgbColor rgb="FFC9D6D2"/>
      <rgbColor rgb="FF000080"/>
      <rgbColor rgb="FFFF00FF"/>
      <rgbColor rgb="FFFFFF00"/>
      <rgbColor rgb="FF00FFFF"/>
      <rgbColor rgb="FF800080"/>
      <rgbColor rgb="FF800000"/>
      <rgbColor rgb="FF008080"/>
      <rgbColor rgb="FF0000FF"/>
      <rgbColor rgb="FF00CCFF"/>
      <rgbColor rgb="FFCCFFFF"/>
      <rgbColor rgb="FFBFE0D9"/>
      <rgbColor rgb="FFFFFF99"/>
      <rgbColor rgb="FF96C5BD"/>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row>
    <row r="13" customFormat="false" ht="15" hidden="false" customHeight="false" outlineLevel="0" collapsed="false">
      <c r="A13" s="3"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0" customFormat="false" ht="15" hidden="false" customHeight="false" outlineLevel="0" collapsed="false">
      <c r="A20" s="2" t="s">
        <v>16</v>
      </c>
    </row>
    <row r="21" customFormat="false" ht="23.8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row>
    <row r="24" customFormat="false" ht="15" hidden="false" customHeight="false" outlineLevel="0" collapsed="false">
      <c r="A24" s="3" t="s">
        <v>19</v>
      </c>
    </row>
    <row r="25" customFormat="false" ht="15" hidden="false" customHeight="false" outlineLevel="0" collapsed="false">
      <c r="A25"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U23"/>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4" topLeftCell="H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6"/>
    <col collapsed="false" customWidth="true" hidden="false" outlineLevel="0" max="4" min="4" style="0" width="8"/>
    <col collapsed="false" customWidth="true" hidden="false" outlineLevel="0" max="5" min="5" style="0" width="18"/>
    <col collapsed="false" customWidth="true" hidden="false" outlineLevel="0" max="6" min="6" style="0" width="11"/>
    <col collapsed="false" customWidth="true" hidden="false" outlineLevel="0" max="7" min="7" style="0" width="44"/>
    <col collapsed="false" customWidth="true" hidden="false" outlineLevel="0" max="10" min="8" style="0" width="11"/>
    <col collapsed="false" customWidth="true" hidden="false" outlineLevel="0" max="11" min="11" style="0" width="18"/>
    <col collapsed="false" customWidth="true" hidden="false" outlineLevel="0" max="12" min="12" style="0" width="14"/>
    <col collapsed="false" customWidth="true" hidden="false" outlineLevel="0" max="47" min="13" style="0" width="3.6"/>
  </cols>
  <sheetData>
    <row r="1" customFormat="false" ht="17.35" hidden="false" customHeight="false" outlineLevel="0" collapsed="false">
      <c r="A1" s="4" t="s">
        <v>21</v>
      </c>
    </row>
    <row r="2" customFormat="false" ht="42" hidden="false" customHeight="true" outlineLevel="0" collapsed="false">
      <c r="A2" s="5" t="s">
        <v>22</v>
      </c>
      <c r="B2" s="6" t="n">
        <v>46314</v>
      </c>
      <c r="D2" s="7" t="s">
        <v>23</v>
      </c>
      <c r="E2" s="7"/>
      <c r="F2" s="8" t="n">
        <v>5</v>
      </c>
      <c r="G2" s="9" t="s">
        <v>24</v>
      </c>
      <c r="H2" s="8" t="n">
        <v>2</v>
      </c>
      <c r="I2" s="9" t="s">
        <v>25</v>
      </c>
      <c r="J2" s="8" t="n">
        <v>1</v>
      </c>
    </row>
    <row r="3" customFormat="false" ht="15" hidden="false" customHeight="false" outlineLevel="0" collapsed="false">
      <c r="A3" s="10" t="s">
        <v>26</v>
      </c>
      <c r="B3" s="10"/>
      <c r="C3" s="10"/>
      <c r="D3" s="10"/>
      <c r="E3" s="10"/>
      <c r="F3" s="10"/>
      <c r="G3" s="10"/>
      <c r="H3" s="10"/>
      <c r="I3" s="10"/>
      <c r="J3" s="10"/>
      <c r="K3" s="10"/>
      <c r="L3" s="10"/>
      <c r="M3" s="11" t="str">
        <f aca="false">CHOOSE(WEEKDAY(M4,2),"S","T","Q","Q","S","S","D")</f>
        <v>S</v>
      </c>
      <c r="N3" s="11" t="str">
        <f aca="false">CHOOSE(WEEKDAY(N4,2),"S","T","Q","Q","S","S","D")</f>
        <v>T</v>
      </c>
      <c r="O3" s="11" t="str">
        <f aca="false">CHOOSE(WEEKDAY(O4,2),"S","T","Q","Q","S","S","D")</f>
        <v>Q</v>
      </c>
      <c r="P3" s="11" t="str">
        <f aca="false">CHOOSE(WEEKDAY(P4,2),"S","T","Q","Q","S","S","D")</f>
        <v>Q</v>
      </c>
      <c r="Q3" s="11" t="str">
        <f aca="false">CHOOSE(WEEKDAY(Q4,2),"S","T","Q","Q","S","S","D")</f>
        <v>S</v>
      </c>
      <c r="R3" s="11" t="str">
        <f aca="false">CHOOSE(WEEKDAY(R4,2),"S","T","Q","Q","S","S","D")</f>
        <v>S</v>
      </c>
      <c r="S3" s="11" t="str">
        <f aca="false">CHOOSE(WEEKDAY(S4,2),"S","T","Q","Q","S","S","D")</f>
        <v>D</v>
      </c>
      <c r="T3" s="11" t="str">
        <f aca="false">CHOOSE(WEEKDAY(T4,2),"S","T","Q","Q","S","S","D")</f>
        <v>S</v>
      </c>
      <c r="U3" s="11" t="str">
        <f aca="false">CHOOSE(WEEKDAY(U4,2),"S","T","Q","Q","S","S","D")</f>
        <v>T</v>
      </c>
      <c r="V3" s="11" t="str">
        <f aca="false">CHOOSE(WEEKDAY(V4,2),"S","T","Q","Q","S","S","D")</f>
        <v>Q</v>
      </c>
      <c r="W3" s="11" t="str">
        <f aca="false">CHOOSE(WEEKDAY(W4,2),"S","T","Q","Q","S","S","D")</f>
        <v>Q</v>
      </c>
      <c r="X3" s="11" t="str">
        <f aca="false">CHOOSE(WEEKDAY(X4,2),"S","T","Q","Q","S","S","D")</f>
        <v>S</v>
      </c>
      <c r="Y3" s="11" t="str">
        <f aca="false">CHOOSE(WEEKDAY(Y4,2),"S","T","Q","Q","S","S","D")</f>
        <v>S</v>
      </c>
      <c r="Z3" s="11" t="str">
        <f aca="false">CHOOSE(WEEKDAY(Z4,2),"S","T","Q","Q","S","S","D")</f>
        <v>D</v>
      </c>
      <c r="AA3" s="11" t="str">
        <f aca="false">CHOOSE(WEEKDAY(AA4,2),"S","T","Q","Q","S","S","D")</f>
        <v>S</v>
      </c>
      <c r="AB3" s="11" t="str">
        <f aca="false">CHOOSE(WEEKDAY(AB4,2),"S","T","Q","Q","S","S","D")</f>
        <v>T</v>
      </c>
      <c r="AC3" s="11" t="str">
        <f aca="false">CHOOSE(WEEKDAY(AC4,2),"S","T","Q","Q","S","S","D")</f>
        <v>Q</v>
      </c>
      <c r="AD3" s="11" t="str">
        <f aca="false">CHOOSE(WEEKDAY(AD4,2),"S","T","Q","Q","S","S","D")</f>
        <v>Q</v>
      </c>
      <c r="AE3" s="11" t="str">
        <f aca="false">CHOOSE(WEEKDAY(AE4,2),"S","T","Q","Q","S","S","D")</f>
        <v>S</v>
      </c>
      <c r="AF3" s="11" t="str">
        <f aca="false">CHOOSE(WEEKDAY(AF4,2),"S","T","Q","Q","S","S","D")</f>
        <v>S</v>
      </c>
      <c r="AG3" s="11" t="str">
        <f aca="false">CHOOSE(WEEKDAY(AG4,2),"S","T","Q","Q","S","S","D")</f>
        <v>D</v>
      </c>
      <c r="AH3" s="11" t="str">
        <f aca="false">CHOOSE(WEEKDAY(AH4,2),"S","T","Q","Q","S","S","D")</f>
        <v>S</v>
      </c>
      <c r="AI3" s="11" t="str">
        <f aca="false">CHOOSE(WEEKDAY(AI4,2),"S","T","Q","Q","S","S","D")</f>
        <v>T</v>
      </c>
      <c r="AJ3" s="11" t="str">
        <f aca="false">CHOOSE(WEEKDAY(AJ4,2),"S","T","Q","Q","S","S","D")</f>
        <v>Q</v>
      </c>
      <c r="AK3" s="11" t="str">
        <f aca="false">CHOOSE(WEEKDAY(AK4,2),"S","T","Q","Q","S","S","D")</f>
        <v>Q</v>
      </c>
      <c r="AL3" s="11" t="str">
        <f aca="false">CHOOSE(WEEKDAY(AL4,2),"S","T","Q","Q","S","S","D")</f>
        <v>S</v>
      </c>
      <c r="AM3" s="11" t="str">
        <f aca="false">CHOOSE(WEEKDAY(AM4,2),"S","T","Q","Q","S","S","D")</f>
        <v>S</v>
      </c>
      <c r="AN3" s="11" t="str">
        <f aca="false">CHOOSE(WEEKDAY(AN4,2),"S","T","Q","Q","S","S","D")</f>
        <v>D</v>
      </c>
      <c r="AO3" s="11" t="str">
        <f aca="false">CHOOSE(WEEKDAY(AO4,2),"S","T","Q","Q","S","S","D")</f>
        <v>S</v>
      </c>
      <c r="AP3" s="11" t="str">
        <f aca="false">CHOOSE(WEEKDAY(AP4,2),"S","T","Q","Q","S","S","D")</f>
        <v>T</v>
      </c>
      <c r="AQ3" s="11" t="str">
        <f aca="false">CHOOSE(WEEKDAY(AQ4,2),"S","T","Q","Q","S","S","D")</f>
        <v>Q</v>
      </c>
      <c r="AR3" s="11" t="str">
        <f aca="false">CHOOSE(WEEKDAY(AR4,2),"S","T","Q","Q","S","S","D")</f>
        <v>Q</v>
      </c>
      <c r="AS3" s="11" t="str">
        <f aca="false">CHOOSE(WEEKDAY(AS4,2),"S","T","Q","Q","S","S","D")</f>
        <v>S</v>
      </c>
      <c r="AT3" s="11" t="str">
        <f aca="false">CHOOSE(WEEKDAY(AT4,2),"S","T","Q","Q","S","S","D")</f>
        <v>S</v>
      </c>
      <c r="AU3" s="11" t="str">
        <f aca="false">CHOOSE(WEEKDAY(AU4,2),"S","T","Q","Q","S","S","D")</f>
        <v>D</v>
      </c>
    </row>
    <row r="4" customFormat="false" ht="42" hidden="false" customHeight="true" outlineLevel="0" collapsed="false">
      <c r="A4" s="12" t="s">
        <v>27</v>
      </c>
      <c r="B4" s="12" t="s">
        <v>28</v>
      </c>
      <c r="C4" s="12" t="s">
        <v>29</v>
      </c>
      <c r="D4" s="12" t="s">
        <v>30</v>
      </c>
      <c r="E4" s="12" t="s">
        <v>31</v>
      </c>
      <c r="F4" s="12" t="s">
        <v>32</v>
      </c>
      <c r="G4" s="12" t="s">
        <v>33</v>
      </c>
      <c r="H4" s="12" t="s">
        <v>34</v>
      </c>
      <c r="I4" s="12" t="s">
        <v>35</v>
      </c>
      <c r="J4" s="12" t="s">
        <v>36</v>
      </c>
      <c r="K4" s="12" t="s">
        <v>37</v>
      </c>
      <c r="L4" s="12" t="s">
        <v>38</v>
      </c>
      <c r="M4" s="13" t="n">
        <f aca="false">$B$2-7</f>
        <v>46307</v>
      </c>
      <c r="N4" s="13" t="n">
        <f aca="false">M4+1</f>
        <v>46308</v>
      </c>
      <c r="O4" s="13" t="n">
        <f aca="false">N4+1</f>
        <v>46309</v>
      </c>
      <c r="P4" s="13" t="n">
        <f aca="false">O4+1</f>
        <v>46310</v>
      </c>
      <c r="Q4" s="13" t="n">
        <f aca="false">P4+1</f>
        <v>46311</v>
      </c>
      <c r="R4" s="13" t="n">
        <f aca="false">Q4+1</f>
        <v>46312</v>
      </c>
      <c r="S4" s="13" t="n">
        <f aca="false">R4+1</f>
        <v>46313</v>
      </c>
      <c r="T4" s="13" t="n">
        <f aca="false">S4+1</f>
        <v>46314</v>
      </c>
      <c r="U4" s="13" t="n">
        <f aca="false">T4+1</f>
        <v>46315</v>
      </c>
      <c r="V4" s="13" t="n">
        <f aca="false">U4+1</f>
        <v>46316</v>
      </c>
      <c r="W4" s="13" t="n">
        <f aca="false">V4+1</f>
        <v>46317</v>
      </c>
      <c r="X4" s="13" t="n">
        <f aca="false">W4+1</f>
        <v>46318</v>
      </c>
      <c r="Y4" s="13" t="n">
        <f aca="false">X4+1</f>
        <v>46319</v>
      </c>
      <c r="Z4" s="13" t="n">
        <f aca="false">Y4+1</f>
        <v>46320</v>
      </c>
      <c r="AA4" s="13" t="n">
        <f aca="false">Z4+1</f>
        <v>46321</v>
      </c>
      <c r="AB4" s="13" t="n">
        <f aca="false">AA4+1</f>
        <v>46322</v>
      </c>
      <c r="AC4" s="13" t="n">
        <f aca="false">AB4+1</f>
        <v>46323</v>
      </c>
      <c r="AD4" s="13" t="n">
        <f aca="false">AC4+1</f>
        <v>46324</v>
      </c>
      <c r="AE4" s="13" t="n">
        <f aca="false">AD4+1</f>
        <v>46325</v>
      </c>
      <c r="AF4" s="13" t="n">
        <f aca="false">AE4+1</f>
        <v>46326</v>
      </c>
      <c r="AG4" s="13" t="n">
        <f aca="false">AF4+1</f>
        <v>46327</v>
      </c>
      <c r="AH4" s="13" t="n">
        <f aca="false">AG4+1</f>
        <v>46328</v>
      </c>
      <c r="AI4" s="13" t="n">
        <f aca="false">AH4+1</f>
        <v>46329</v>
      </c>
      <c r="AJ4" s="13" t="n">
        <f aca="false">AI4+1</f>
        <v>46330</v>
      </c>
      <c r="AK4" s="13" t="n">
        <f aca="false">AJ4+1</f>
        <v>46331</v>
      </c>
      <c r="AL4" s="13" t="n">
        <f aca="false">AK4+1</f>
        <v>46332</v>
      </c>
      <c r="AM4" s="13" t="n">
        <f aca="false">AL4+1</f>
        <v>46333</v>
      </c>
      <c r="AN4" s="13" t="n">
        <f aca="false">AM4+1</f>
        <v>46334</v>
      </c>
      <c r="AO4" s="13" t="n">
        <f aca="false">AN4+1</f>
        <v>46335</v>
      </c>
      <c r="AP4" s="13" t="n">
        <f aca="false">AO4+1</f>
        <v>46336</v>
      </c>
      <c r="AQ4" s="13" t="n">
        <f aca="false">AP4+1</f>
        <v>46337</v>
      </c>
      <c r="AR4" s="13" t="n">
        <f aca="false">AQ4+1</f>
        <v>46338</v>
      </c>
      <c r="AS4" s="13" t="n">
        <f aca="false">AR4+1</f>
        <v>46339</v>
      </c>
      <c r="AT4" s="13" t="n">
        <f aca="false">AS4+1</f>
        <v>46340</v>
      </c>
      <c r="AU4" s="13" t="n">
        <f aca="false">AT4+1</f>
        <v>46341</v>
      </c>
    </row>
    <row r="5" customFormat="false" ht="30" hidden="false" customHeight="true" outlineLevel="0" collapsed="false">
      <c r="A5" s="14" t="s">
        <v>39</v>
      </c>
      <c r="B5" s="15" t="n">
        <v>46314</v>
      </c>
      <c r="C5" s="16" t="str">
        <f aca="false">CHOOSE(WEEKDAY(B5,2),"seg","ter","qua","qui","sex","sáb","dom")</f>
        <v>seg</v>
      </c>
      <c r="D5" s="16" t="n">
        <f aca="false">INT((B5-$B$2)/7)+1</f>
        <v>1</v>
      </c>
      <c r="E5" s="14" t="s">
        <v>40</v>
      </c>
      <c r="F5" s="14" t="s">
        <v>41</v>
      </c>
      <c r="G5" s="14" t="s">
        <v>42</v>
      </c>
      <c r="H5" s="17" t="n">
        <v>46309</v>
      </c>
      <c r="I5" s="17" t="n">
        <v>46310</v>
      </c>
      <c r="J5" s="15" t="n">
        <f aca="false">WORKDAY(B5,-$J$2,Listas!$A$3:$A$6)</f>
        <v>46311</v>
      </c>
      <c r="K5" s="14" t="s">
        <v>43</v>
      </c>
      <c r="L5" s="14"/>
      <c r="M5" s="18" t="str">
        <f aca="false">IF(M$4=$B5,"P",IF(M$4=$J5,"A",IF(M$4=$I5,"C",IF(M$4=$H5,"R",""))))</f>
        <v/>
      </c>
      <c r="N5" s="18" t="str">
        <f aca="false">IF(N$4=$B5,"P",IF(N$4=$J5,"A",IF(N$4=$I5,"C",IF(N$4=$H5,"R",""))))</f>
        <v/>
      </c>
      <c r="O5" s="18" t="str">
        <f aca="false">IF(O$4=$B5,"P",IF(O$4=$J5,"A",IF(O$4=$I5,"C",IF(O$4=$H5,"R",""))))</f>
        <v>R</v>
      </c>
      <c r="P5" s="18" t="str">
        <f aca="false">IF(P$4=$B5,"P",IF(P$4=$J5,"A",IF(P$4=$I5,"C",IF(P$4=$H5,"R",""))))</f>
        <v>C</v>
      </c>
      <c r="Q5" s="18" t="str">
        <f aca="false">IF(Q$4=$B5,"P",IF(Q$4=$J5,"A",IF(Q$4=$I5,"C",IF(Q$4=$H5,"R",""))))</f>
        <v>A</v>
      </c>
      <c r="R5" s="18" t="str">
        <f aca="false">IF(R$4=$B5,"P",IF(R$4=$J5,"A",IF(R$4=$I5,"C",IF(R$4=$H5,"R",""))))</f>
        <v/>
      </c>
      <c r="S5" s="18" t="str">
        <f aca="false">IF(S$4=$B5,"P",IF(S$4=$J5,"A",IF(S$4=$I5,"C",IF(S$4=$H5,"R",""))))</f>
        <v/>
      </c>
      <c r="T5" s="18" t="str">
        <f aca="false">IF(T$4=$B5,"P",IF(T$4=$J5,"A",IF(T$4=$I5,"C",IF(T$4=$H5,"R",""))))</f>
        <v>P</v>
      </c>
      <c r="U5" s="18" t="str">
        <f aca="false">IF(U$4=$B5,"P",IF(U$4=$J5,"A",IF(U$4=$I5,"C",IF(U$4=$H5,"R",""))))</f>
        <v/>
      </c>
      <c r="V5" s="18" t="str">
        <f aca="false">IF(V$4=$B5,"P",IF(V$4=$J5,"A",IF(V$4=$I5,"C",IF(V$4=$H5,"R",""))))</f>
        <v/>
      </c>
      <c r="W5" s="18" t="str">
        <f aca="false">IF(W$4=$B5,"P",IF(W$4=$J5,"A",IF(W$4=$I5,"C",IF(W$4=$H5,"R",""))))</f>
        <v/>
      </c>
      <c r="X5" s="18" t="str">
        <f aca="false">IF(X$4=$B5,"P",IF(X$4=$J5,"A",IF(X$4=$I5,"C",IF(X$4=$H5,"R",""))))</f>
        <v/>
      </c>
      <c r="Y5" s="18" t="str">
        <f aca="false">IF(Y$4=$B5,"P",IF(Y$4=$J5,"A",IF(Y$4=$I5,"C",IF(Y$4=$H5,"R",""))))</f>
        <v/>
      </c>
      <c r="Z5" s="18" t="str">
        <f aca="false">IF(Z$4=$B5,"P",IF(Z$4=$J5,"A",IF(Z$4=$I5,"C",IF(Z$4=$H5,"R",""))))</f>
        <v/>
      </c>
      <c r="AA5" s="18" t="str">
        <f aca="false">IF(AA$4=$B5,"P",IF(AA$4=$J5,"A",IF(AA$4=$I5,"C",IF(AA$4=$H5,"R",""))))</f>
        <v/>
      </c>
      <c r="AB5" s="18" t="str">
        <f aca="false">IF(AB$4=$B5,"P",IF(AB$4=$J5,"A",IF(AB$4=$I5,"C",IF(AB$4=$H5,"R",""))))</f>
        <v/>
      </c>
      <c r="AC5" s="18" t="str">
        <f aca="false">IF(AC$4=$B5,"P",IF(AC$4=$J5,"A",IF(AC$4=$I5,"C",IF(AC$4=$H5,"R",""))))</f>
        <v/>
      </c>
      <c r="AD5" s="18" t="str">
        <f aca="false">IF(AD$4=$B5,"P",IF(AD$4=$J5,"A",IF(AD$4=$I5,"C",IF(AD$4=$H5,"R",""))))</f>
        <v/>
      </c>
      <c r="AE5" s="18" t="str">
        <f aca="false">IF(AE$4=$B5,"P",IF(AE$4=$J5,"A",IF(AE$4=$I5,"C",IF(AE$4=$H5,"R",""))))</f>
        <v/>
      </c>
      <c r="AF5" s="18" t="str">
        <f aca="false">IF(AF$4=$B5,"P",IF(AF$4=$J5,"A",IF(AF$4=$I5,"C",IF(AF$4=$H5,"R",""))))</f>
        <v/>
      </c>
      <c r="AG5" s="18" t="str">
        <f aca="false">IF(AG$4=$B5,"P",IF(AG$4=$J5,"A",IF(AG$4=$I5,"C",IF(AG$4=$H5,"R",""))))</f>
        <v/>
      </c>
      <c r="AH5" s="18" t="str">
        <f aca="false">IF(AH$4=$B5,"P",IF(AH$4=$J5,"A",IF(AH$4=$I5,"C",IF(AH$4=$H5,"R",""))))</f>
        <v/>
      </c>
      <c r="AI5" s="18" t="str">
        <f aca="false">IF(AI$4=$B5,"P",IF(AI$4=$J5,"A",IF(AI$4=$I5,"C",IF(AI$4=$H5,"R",""))))</f>
        <v/>
      </c>
      <c r="AJ5" s="18" t="str">
        <f aca="false">IF(AJ$4=$B5,"P",IF(AJ$4=$J5,"A",IF(AJ$4=$I5,"C",IF(AJ$4=$H5,"R",""))))</f>
        <v/>
      </c>
      <c r="AK5" s="18" t="str">
        <f aca="false">IF(AK$4=$B5,"P",IF(AK$4=$J5,"A",IF(AK$4=$I5,"C",IF(AK$4=$H5,"R",""))))</f>
        <v/>
      </c>
      <c r="AL5" s="18" t="str">
        <f aca="false">IF(AL$4=$B5,"P",IF(AL$4=$J5,"A",IF(AL$4=$I5,"C",IF(AL$4=$H5,"R",""))))</f>
        <v/>
      </c>
      <c r="AM5" s="18" t="str">
        <f aca="false">IF(AM$4=$B5,"P",IF(AM$4=$J5,"A",IF(AM$4=$I5,"C",IF(AM$4=$H5,"R",""))))</f>
        <v/>
      </c>
      <c r="AN5" s="18" t="str">
        <f aca="false">IF(AN$4=$B5,"P",IF(AN$4=$J5,"A",IF(AN$4=$I5,"C",IF(AN$4=$H5,"R",""))))</f>
        <v/>
      </c>
      <c r="AO5" s="18" t="str">
        <f aca="false">IF(AO$4=$B5,"P",IF(AO$4=$J5,"A",IF(AO$4=$I5,"C",IF(AO$4=$H5,"R",""))))</f>
        <v/>
      </c>
      <c r="AP5" s="18" t="str">
        <f aca="false">IF(AP$4=$B5,"P",IF(AP$4=$J5,"A",IF(AP$4=$I5,"C",IF(AP$4=$H5,"R",""))))</f>
        <v/>
      </c>
      <c r="AQ5" s="18" t="str">
        <f aca="false">IF(AQ$4=$B5,"P",IF(AQ$4=$J5,"A",IF(AQ$4=$I5,"C",IF(AQ$4=$H5,"R",""))))</f>
        <v/>
      </c>
      <c r="AR5" s="18" t="str">
        <f aca="false">IF(AR$4=$B5,"P",IF(AR$4=$J5,"A",IF(AR$4=$I5,"C",IF(AR$4=$H5,"R",""))))</f>
        <v/>
      </c>
      <c r="AS5" s="18" t="str">
        <f aca="false">IF(AS$4=$B5,"P",IF(AS$4=$J5,"A",IF(AS$4=$I5,"C",IF(AS$4=$H5,"R",""))))</f>
        <v/>
      </c>
      <c r="AT5" s="18" t="str">
        <f aca="false">IF(AT$4=$B5,"P",IF(AT$4=$J5,"A",IF(AT$4=$I5,"C",IF(AT$4=$H5,"R",""))))</f>
        <v/>
      </c>
      <c r="AU5" s="18" t="str">
        <f aca="false">IF(AU$4=$B5,"P",IF(AU$4=$J5,"A",IF(AU$4=$I5,"C",IF(AU$4=$H5,"R",""))))</f>
        <v/>
      </c>
    </row>
    <row r="6" customFormat="false" ht="30" hidden="false" customHeight="true" outlineLevel="0" collapsed="false">
      <c r="A6" s="14" t="s">
        <v>44</v>
      </c>
      <c r="B6" s="15" t="n">
        <v>46316</v>
      </c>
      <c r="C6" s="16" t="str">
        <f aca="false">CHOOSE(WEEKDAY(B6,2),"seg","ter","qua","qui","sex","sáb","dom")</f>
        <v>qua</v>
      </c>
      <c r="D6" s="16" t="n">
        <f aca="false">INT((B6-$B$2)/7)+1</f>
        <v>1</v>
      </c>
      <c r="E6" s="14" t="s">
        <v>40</v>
      </c>
      <c r="F6" s="14" t="s">
        <v>45</v>
      </c>
      <c r="G6" s="14" t="s">
        <v>46</v>
      </c>
      <c r="H6" s="15" t="n">
        <f aca="false">WORKDAY(B6,-$F$2,Listas!$A$3:$A$6)</f>
        <v>46309</v>
      </c>
      <c r="I6" s="15" t="n">
        <f aca="false">WORKDAY(B6,-$H$2,Listas!$A$3:$A$6)</f>
        <v>46314</v>
      </c>
      <c r="J6" s="15" t="n">
        <f aca="false">WORKDAY(B6,-$J$2,Listas!$A$3:$A$6)</f>
        <v>46315</v>
      </c>
      <c r="K6" s="14" t="s">
        <v>47</v>
      </c>
      <c r="L6" s="14"/>
      <c r="M6" s="18" t="str">
        <f aca="false">IF(M$4=$B6,"P",IF(M$4=$J6,"A",IF(M$4=$I6,"C",IF(M$4=$H6,"R",""))))</f>
        <v/>
      </c>
      <c r="N6" s="18" t="str">
        <f aca="false">IF(N$4=$B6,"P",IF(N$4=$J6,"A",IF(N$4=$I6,"C",IF(N$4=$H6,"R",""))))</f>
        <v/>
      </c>
      <c r="O6" s="18" t="str">
        <f aca="false">IF(O$4=$B6,"P",IF(O$4=$J6,"A",IF(O$4=$I6,"C",IF(O$4=$H6,"R",""))))</f>
        <v>R</v>
      </c>
      <c r="P6" s="18" t="str">
        <f aca="false">IF(P$4=$B6,"P",IF(P$4=$J6,"A",IF(P$4=$I6,"C",IF(P$4=$H6,"R",""))))</f>
        <v/>
      </c>
      <c r="Q6" s="18" t="str">
        <f aca="false">IF(Q$4=$B6,"P",IF(Q$4=$J6,"A",IF(Q$4=$I6,"C",IF(Q$4=$H6,"R",""))))</f>
        <v/>
      </c>
      <c r="R6" s="18" t="str">
        <f aca="false">IF(R$4=$B6,"P",IF(R$4=$J6,"A",IF(R$4=$I6,"C",IF(R$4=$H6,"R",""))))</f>
        <v/>
      </c>
      <c r="S6" s="18" t="str">
        <f aca="false">IF(S$4=$B6,"P",IF(S$4=$J6,"A",IF(S$4=$I6,"C",IF(S$4=$H6,"R",""))))</f>
        <v/>
      </c>
      <c r="T6" s="18" t="str">
        <f aca="false">IF(T$4=$B6,"P",IF(T$4=$J6,"A",IF(T$4=$I6,"C",IF(T$4=$H6,"R",""))))</f>
        <v>C</v>
      </c>
      <c r="U6" s="18" t="str">
        <f aca="false">IF(U$4=$B6,"P",IF(U$4=$J6,"A",IF(U$4=$I6,"C",IF(U$4=$H6,"R",""))))</f>
        <v>A</v>
      </c>
      <c r="V6" s="18" t="str">
        <f aca="false">IF(V$4=$B6,"P",IF(V$4=$J6,"A",IF(V$4=$I6,"C",IF(V$4=$H6,"R",""))))</f>
        <v>P</v>
      </c>
      <c r="W6" s="18" t="str">
        <f aca="false">IF(W$4=$B6,"P",IF(W$4=$J6,"A",IF(W$4=$I6,"C",IF(W$4=$H6,"R",""))))</f>
        <v/>
      </c>
      <c r="X6" s="18" t="str">
        <f aca="false">IF(X$4=$B6,"P",IF(X$4=$J6,"A",IF(X$4=$I6,"C",IF(X$4=$H6,"R",""))))</f>
        <v/>
      </c>
      <c r="Y6" s="18" t="str">
        <f aca="false">IF(Y$4=$B6,"P",IF(Y$4=$J6,"A",IF(Y$4=$I6,"C",IF(Y$4=$H6,"R",""))))</f>
        <v/>
      </c>
      <c r="Z6" s="18" t="str">
        <f aca="false">IF(Z$4=$B6,"P",IF(Z$4=$J6,"A",IF(Z$4=$I6,"C",IF(Z$4=$H6,"R",""))))</f>
        <v/>
      </c>
      <c r="AA6" s="18" t="str">
        <f aca="false">IF(AA$4=$B6,"P",IF(AA$4=$J6,"A",IF(AA$4=$I6,"C",IF(AA$4=$H6,"R",""))))</f>
        <v/>
      </c>
      <c r="AB6" s="18" t="str">
        <f aca="false">IF(AB$4=$B6,"P",IF(AB$4=$J6,"A",IF(AB$4=$I6,"C",IF(AB$4=$H6,"R",""))))</f>
        <v/>
      </c>
      <c r="AC6" s="18" t="str">
        <f aca="false">IF(AC$4=$B6,"P",IF(AC$4=$J6,"A",IF(AC$4=$I6,"C",IF(AC$4=$H6,"R",""))))</f>
        <v/>
      </c>
      <c r="AD6" s="18" t="str">
        <f aca="false">IF(AD$4=$B6,"P",IF(AD$4=$J6,"A",IF(AD$4=$I6,"C",IF(AD$4=$H6,"R",""))))</f>
        <v/>
      </c>
      <c r="AE6" s="18" t="str">
        <f aca="false">IF(AE$4=$B6,"P",IF(AE$4=$J6,"A",IF(AE$4=$I6,"C",IF(AE$4=$H6,"R",""))))</f>
        <v/>
      </c>
      <c r="AF6" s="18" t="str">
        <f aca="false">IF(AF$4=$B6,"P",IF(AF$4=$J6,"A",IF(AF$4=$I6,"C",IF(AF$4=$H6,"R",""))))</f>
        <v/>
      </c>
      <c r="AG6" s="18" t="str">
        <f aca="false">IF(AG$4=$B6,"P",IF(AG$4=$J6,"A",IF(AG$4=$I6,"C",IF(AG$4=$H6,"R",""))))</f>
        <v/>
      </c>
      <c r="AH6" s="18" t="str">
        <f aca="false">IF(AH$4=$B6,"P",IF(AH$4=$J6,"A",IF(AH$4=$I6,"C",IF(AH$4=$H6,"R",""))))</f>
        <v/>
      </c>
      <c r="AI6" s="18" t="str">
        <f aca="false">IF(AI$4=$B6,"P",IF(AI$4=$J6,"A",IF(AI$4=$I6,"C",IF(AI$4=$H6,"R",""))))</f>
        <v/>
      </c>
      <c r="AJ6" s="18" t="str">
        <f aca="false">IF(AJ$4=$B6,"P",IF(AJ$4=$J6,"A",IF(AJ$4=$I6,"C",IF(AJ$4=$H6,"R",""))))</f>
        <v/>
      </c>
      <c r="AK6" s="18" t="str">
        <f aca="false">IF(AK$4=$B6,"P",IF(AK$4=$J6,"A",IF(AK$4=$I6,"C",IF(AK$4=$H6,"R",""))))</f>
        <v/>
      </c>
      <c r="AL6" s="18" t="str">
        <f aca="false">IF(AL$4=$B6,"P",IF(AL$4=$J6,"A",IF(AL$4=$I6,"C",IF(AL$4=$H6,"R",""))))</f>
        <v/>
      </c>
      <c r="AM6" s="18" t="str">
        <f aca="false">IF(AM$4=$B6,"P",IF(AM$4=$J6,"A",IF(AM$4=$I6,"C",IF(AM$4=$H6,"R",""))))</f>
        <v/>
      </c>
      <c r="AN6" s="18" t="str">
        <f aca="false">IF(AN$4=$B6,"P",IF(AN$4=$J6,"A",IF(AN$4=$I6,"C",IF(AN$4=$H6,"R",""))))</f>
        <v/>
      </c>
      <c r="AO6" s="18" t="str">
        <f aca="false">IF(AO$4=$B6,"P",IF(AO$4=$J6,"A",IF(AO$4=$I6,"C",IF(AO$4=$H6,"R",""))))</f>
        <v/>
      </c>
      <c r="AP6" s="18" t="str">
        <f aca="false">IF(AP$4=$B6,"P",IF(AP$4=$J6,"A",IF(AP$4=$I6,"C",IF(AP$4=$H6,"R",""))))</f>
        <v/>
      </c>
      <c r="AQ6" s="18" t="str">
        <f aca="false">IF(AQ$4=$B6,"P",IF(AQ$4=$J6,"A",IF(AQ$4=$I6,"C",IF(AQ$4=$H6,"R",""))))</f>
        <v/>
      </c>
      <c r="AR6" s="18" t="str">
        <f aca="false">IF(AR$4=$B6,"P",IF(AR$4=$J6,"A",IF(AR$4=$I6,"C",IF(AR$4=$H6,"R",""))))</f>
        <v/>
      </c>
      <c r="AS6" s="18" t="str">
        <f aca="false">IF(AS$4=$B6,"P",IF(AS$4=$J6,"A",IF(AS$4=$I6,"C",IF(AS$4=$H6,"R",""))))</f>
        <v/>
      </c>
      <c r="AT6" s="18" t="str">
        <f aca="false">IF(AT$4=$B6,"P",IF(AT$4=$J6,"A",IF(AT$4=$I6,"C",IF(AT$4=$H6,"R",""))))</f>
        <v/>
      </c>
      <c r="AU6" s="18" t="str">
        <f aca="false">IF(AU$4=$B6,"P",IF(AU$4=$J6,"A",IF(AU$4=$I6,"C",IF(AU$4=$H6,"R",""))))</f>
        <v/>
      </c>
    </row>
    <row r="7" customFormat="false" ht="30" hidden="false" customHeight="true" outlineLevel="0" collapsed="false">
      <c r="A7" s="14" t="s">
        <v>48</v>
      </c>
      <c r="B7" s="15" t="n">
        <v>46318</v>
      </c>
      <c r="C7" s="16" t="str">
        <f aca="false">CHOOSE(WEEKDAY(B7,2),"seg","ter","qua","qui","sex","sáb","dom")</f>
        <v>sex</v>
      </c>
      <c r="D7" s="16" t="n">
        <f aca="false">INT((B7-$B$2)/7)+1</f>
        <v>1</v>
      </c>
      <c r="E7" s="14" t="s">
        <v>49</v>
      </c>
      <c r="F7" s="14" t="s">
        <v>45</v>
      </c>
      <c r="G7" s="14" t="s">
        <v>50</v>
      </c>
      <c r="H7" s="15" t="n">
        <f aca="false">WORKDAY(B7,-$F$2,Listas!$A$3:$A$6)</f>
        <v>46311</v>
      </c>
      <c r="I7" s="15" t="n">
        <f aca="false">WORKDAY(B7,-$H$2,Listas!$A$3:$A$6)</f>
        <v>46316</v>
      </c>
      <c r="J7" s="15" t="n">
        <f aca="false">WORKDAY(B7,-$J$2,Listas!$A$3:$A$6)</f>
        <v>46317</v>
      </c>
      <c r="K7" s="14" t="s">
        <v>43</v>
      </c>
      <c r="L7" s="14"/>
      <c r="M7" s="18" t="str">
        <f aca="false">IF(M$4=$B7,"P",IF(M$4=$J7,"A",IF(M$4=$I7,"C",IF(M$4=$H7,"R",""))))</f>
        <v/>
      </c>
      <c r="N7" s="18" t="str">
        <f aca="false">IF(N$4=$B7,"P",IF(N$4=$J7,"A",IF(N$4=$I7,"C",IF(N$4=$H7,"R",""))))</f>
        <v/>
      </c>
      <c r="O7" s="18" t="str">
        <f aca="false">IF(O$4=$B7,"P",IF(O$4=$J7,"A",IF(O$4=$I7,"C",IF(O$4=$H7,"R",""))))</f>
        <v/>
      </c>
      <c r="P7" s="18" t="str">
        <f aca="false">IF(P$4=$B7,"P",IF(P$4=$J7,"A",IF(P$4=$I7,"C",IF(P$4=$H7,"R",""))))</f>
        <v/>
      </c>
      <c r="Q7" s="18" t="str">
        <f aca="false">IF(Q$4=$B7,"P",IF(Q$4=$J7,"A",IF(Q$4=$I7,"C",IF(Q$4=$H7,"R",""))))</f>
        <v>R</v>
      </c>
      <c r="R7" s="18" t="str">
        <f aca="false">IF(R$4=$B7,"P",IF(R$4=$J7,"A",IF(R$4=$I7,"C",IF(R$4=$H7,"R",""))))</f>
        <v/>
      </c>
      <c r="S7" s="18" t="str">
        <f aca="false">IF(S$4=$B7,"P",IF(S$4=$J7,"A",IF(S$4=$I7,"C",IF(S$4=$H7,"R",""))))</f>
        <v/>
      </c>
      <c r="T7" s="18" t="str">
        <f aca="false">IF(T$4=$B7,"P",IF(T$4=$J7,"A",IF(T$4=$I7,"C",IF(T$4=$H7,"R",""))))</f>
        <v/>
      </c>
      <c r="U7" s="18" t="str">
        <f aca="false">IF(U$4=$B7,"P",IF(U$4=$J7,"A",IF(U$4=$I7,"C",IF(U$4=$H7,"R",""))))</f>
        <v/>
      </c>
      <c r="V7" s="18" t="str">
        <f aca="false">IF(V$4=$B7,"P",IF(V$4=$J7,"A",IF(V$4=$I7,"C",IF(V$4=$H7,"R",""))))</f>
        <v>C</v>
      </c>
      <c r="W7" s="18" t="str">
        <f aca="false">IF(W$4=$B7,"P",IF(W$4=$J7,"A",IF(W$4=$I7,"C",IF(W$4=$H7,"R",""))))</f>
        <v>A</v>
      </c>
      <c r="X7" s="18" t="str">
        <f aca="false">IF(X$4=$B7,"P",IF(X$4=$J7,"A",IF(X$4=$I7,"C",IF(X$4=$H7,"R",""))))</f>
        <v>P</v>
      </c>
      <c r="Y7" s="18" t="str">
        <f aca="false">IF(Y$4=$B7,"P",IF(Y$4=$J7,"A",IF(Y$4=$I7,"C",IF(Y$4=$H7,"R",""))))</f>
        <v/>
      </c>
      <c r="Z7" s="18" t="str">
        <f aca="false">IF(Z$4=$B7,"P",IF(Z$4=$J7,"A",IF(Z$4=$I7,"C",IF(Z$4=$H7,"R",""))))</f>
        <v/>
      </c>
      <c r="AA7" s="18" t="str">
        <f aca="false">IF(AA$4=$B7,"P",IF(AA$4=$J7,"A",IF(AA$4=$I7,"C",IF(AA$4=$H7,"R",""))))</f>
        <v/>
      </c>
      <c r="AB7" s="18" t="str">
        <f aca="false">IF(AB$4=$B7,"P",IF(AB$4=$J7,"A",IF(AB$4=$I7,"C",IF(AB$4=$H7,"R",""))))</f>
        <v/>
      </c>
      <c r="AC7" s="18" t="str">
        <f aca="false">IF(AC$4=$B7,"P",IF(AC$4=$J7,"A",IF(AC$4=$I7,"C",IF(AC$4=$H7,"R",""))))</f>
        <v/>
      </c>
      <c r="AD7" s="18" t="str">
        <f aca="false">IF(AD$4=$B7,"P",IF(AD$4=$J7,"A",IF(AD$4=$I7,"C",IF(AD$4=$H7,"R",""))))</f>
        <v/>
      </c>
      <c r="AE7" s="18" t="str">
        <f aca="false">IF(AE$4=$B7,"P",IF(AE$4=$J7,"A",IF(AE$4=$I7,"C",IF(AE$4=$H7,"R",""))))</f>
        <v/>
      </c>
      <c r="AF7" s="18" t="str">
        <f aca="false">IF(AF$4=$B7,"P",IF(AF$4=$J7,"A",IF(AF$4=$I7,"C",IF(AF$4=$H7,"R",""))))</f>
        <v/>
      </c>
      <c r="AG7" s="18" t="str">
        <f aca="false">IF(AG$4=$B7,"P",IF(AG$4=$J7,"A",IF(AG$4=$I7,"C",IF(AG$4=$H7,"R",""))))</f>
        <v/>
      </c>
      <c r="AH7" s="18" t="str">
        <f aca="false">IF(AH$4=$B7,"P",IF(AH$4=$J7,"A",IF(AH$4=$I7,"C",IF(AH$4=$H7,"R",""))))</f>
        <v/>
      </c>
      <c r="AI7" s="18" t="str">
        <f aca="false">IF(AI$4=$B7,"P",IF(AI$4=$J7,"A",IF(AI$4=$I7,"C",IF(AI$4=$H7,"R",""))))</f>
        <v/>
      </c>
      <c r="AJ7" s="18" t="str">
        <f aca="false">IF(AJ$4=$B7,"P",IF(AJ$4=$J7,"A",IF(AJ$4=$I7,"C",IF(AJ$4=$H7,"R",""))))</f>
        <v/>
      </c>
      <c r="AK7" s="18" t="str">
        <f aca="false">IF(AK$4=$B7,"P",IF(AK$4=$J7,"A",IF(AK$4=$I7,"C",IF(AK$4=$H7,"R",""))))</f>
        <v/>
      </c>
      <c r="AL7" s="18" t="str">
        <f aca="false">IF(AL$4=$B7,"P",IF(AL$4=$J7,"A",IF(AL$4=$I7,"C",IF(AL$4=$H7,"R",""))))</f>
        <v/>
      </c>
      <c r="AM7" s="18" t="str">
        <f aca="false">IF(AM$4=$B7,"P",IF(AM$4=$J7,"A",IF(AM$4=$I7,"C",IF(AM$4=$H7,"R",""))))</f>
        <v/>
      </c>
      <c r="AN7" s="18" t="str">
        <f aca="false">IF(AN$4=$B7,"P",IF(AN$4=$J7,"A",IF(AN$4=$I7,"C",IF(AN$4=$H7,"R",""))))</f>
        <v/>
      </c>
      <c r="AO7" s="18" t="str">
        <f aca="false">IF(AO$4=$B7,"P",IF(AO$4=$J7,"A",IF(AO$4=$I7,"C",IF(AO$4=$H7,"R",""))))</f>
        <v/>
      </c>
      <c r="AP7" s="18" t="str">
        <f aca="false">IF(AP$4=$B7,"P",IF(AP$4=$J7,"A",IF(AP$4=$I7,"C",IF(AP$4=$H7,"R",""))))</f>
        <v/>
      </c>
      <c r="AQ7" s="18" t="str">
        <f aca="false">IF(AQ$4=$B7,"P",IF(AQ$4=$J7,"A",IF(AQ$4=$I7,"C",IF(AQ$4=$H7,"R",""))))</f>
        <v/>
      </c>
      <c r="AR7" s="18" t="str">
        <f aca="false">IF(AR$4=$B7,"P",IF(AR$4=$J7,"A",IF(AR$4=$I7,"C",IF(AR$4=$H7,"R",""))))</f>
        <v/>
      </c>
      <c r="AS7" s="18" t="str">
        <f aca="false">IF(AS$4=$B7,"P",IF(AS$4=$J7,"A",IF(AS$4=$I7,"C",IF(AS$4=$H7,"R",""))))</f>
        <v/>
      </c>
      <c r="AT7" s="18" t="str">
        <f aca="false">IF(AT$4=$B7,"P",IF(AT$4=$J7,"A",IF(AT$4=$I7,"C",IF(AT$4=$H7,"R",""))))</f>
        <v/>
      </c>
      <c r="AU7" s="18" t="str">
        <f aca="false">IF(AU$4=$B7,"P",IF(AU$4=$J7,"A",IF(AU$4=$I7,"C",IF(AU$4=$H7,"R",""))))</f>
        <v/>
      </c>
    </row>
    <row r="8" customFormat="false" ht="30" hidden="false" customHeight="true" outlineLevel="0" collapsed="false">
      <c r="A8" s="14" t="s">
        <v>51</v>
      </c>
      <c r="B8" s="15" t="n">
        <v>46321</v>
      </c>
      <c r="C8" s="16" t="str">
        <f aca="false">CHOOSE(WEEKDAY(B8,2),"seg","ter","qua","qui","sex","sáb","dom")</f>
        <v>seg</v>
      </c>
      <c r="D8" s="16" t="n">
        <f aca="false">INT((B8-$B$2)/7)+1</f>
        <v>2</v>
      </c>
      <c r="E8" s="14" t="s">
        <v>49</v>
      </c>
      <c r="F8" s="14" t="s">
        <v>41</v>
      </c>
      <c r="G8" s="14" t="s">
        <v>52</v>
      </c>
      <c r="H8" s="15" t="n">
        <f aca="false">WORKDAY(B8,-$F$2,Listas!$A$3:$A$6)</f>
        <v>46314</v>
      </c>
      <c r="I8" s="15" t="n">
        <f aca="false">WORKDAY(B8,-$H$2,Listas!$A$3:$A$6)</f>
        <v>46317</v>
      </c>
      <c r="J8" s="15" t="n">
        <f aca="false">WORKDAY(B8,-$J$2,Listas!$A$3:$A$6)</f>
        <v>46318</v>
      </c>
      <c r="K8" s="14" t="s">
        <v>43</v>
      </c>
      <c r="L8" s="14"/>
      <c r="M8" s="18" t="str">
        <f aca="false">IF(M$4=$B8,"P",IF(M$4=$J8,"A",IF(M$4=$I8,"C",IF(M$4=$H8,"R",""))))</f>
        <v/>
      </c>
      <c r="N8" s="18" t="str">
        <f aca="false">IF(N$4=$B8,"P",IF(N$4=$J8,"A",IF(N$4=$I8,"C",IF(N$4=$H8,"R",""))))</f>
        <v/>
      </c>
      <c r="O8" s="18" t="str">
        <f aca="false">IF(O$4=$B8,"P",IF(O$4=$J8,"A",IF(O$4=$I8,"C",IF(O$4=$H8,"R",""))))</f>
        <v/>
      </c>
      <c r="P8" s="18" t="str">
        <f aca="false">IF(P$4=$B8,"P",IF(P$4=$J8,"A",IF(P$4=$I8,"C",IF(P$4=$H8,"R",""))))</f>
        <v/>
      </c>
      <c r="Q8" s="18" t="str">
        <f aca="false">IF(Q$4=$B8,"P",IF(Q$4=$J8,"A",IF(Q$4=$I8,"C",IF(Q$4=$H8,"R",""))))</f>
        <v/>
      </c>
      <c r="R8" s="18" t="str">
        <f aca="false">IF(R$4=$B8,"P",IF(R$4=$J8,"A",IF(R$4=$I8,"C",IF(R$4=$H8,"R",""))))</f>
        <v/>
      </c>
      <c r="S8" s="18" t="str">
        <f aca="false">IF(S$4=$B8,"P",IF(S$4=$J8,"A",IF(S$4=$I8,"C",IF(S$4=$H8,"R",""))))</f>
        <v/>
      </c>
      <c r="T8" s="18" t="str">
        <f aca="false">IF(T$4=$B8,"P",IF(T$4=$J8,"A",IF(T$4=$I8,"C",IF(T$4=$H8,"R",""))))</f>
        <v>R</v>
      </c>
      <c r="U8" s="18" t="str">
        <f aca="false">IF(U$4=$B8,"P",IF(U$4=$J8,"A",IF(U$4=$I8,"C",IF(U$4=$H8,"R",""))))</f>
        <v/>
      </c>
      <c r="V8" s="18" t="str">
        <f aca="false">IF(V$4=$B8,"P",IF(V$4=$J8,"A",IF(V$4=$I8,"C",IF(V$4=$H8,"R",""))))</f>
        <v/>
      </c>
      <c r="W8" s="18" t="str">
        <f aca="false">IF(W$4=$B8,"P",IF(W$4=$J8,"A",IF(W$4=$I8,"C",IF(W$4=$H8,"R",""))))</f>
        <v>C</v>
      </c>
      <c r="X8" s="18" t="str">
        <f aca="false">IF(X$4=$B8,"P",IF(X$4=$J8,"A",IF(X$4=$I8,"C",IF(X$4=$H8,"R",""))))</f>
        <v>A</v>
      </c>
      <c r="Y8" s="18" t="str">
        <f aca="false">IF(Y$4=$B8,"P",IF(Y$4=$J8,"A",IF(Y$4=$I8,"C",IF(Y$4=$H8,"R",""))))</f>
        <v/>
      </c>
      <c r="Z8" s="18" t="str">
        <f aca="false">IF(Z$4=$B8,"P",IF(Z$4=$J8,"A",IF(Z$4=$I8,"C",IF(Z$4=$H8,"R",""))))</f>
        <v/>
      </c>
      <c r="AA8" s="18" t="str">
        <f aca="false">IF(AA$4=$B8,"P",IF(AA$4=$J8,"A",IF(AA$4=$I8,"C",IF(AA$4=$H8,"R",""))))</f>
        <v>P</v>
      </c>
      <c r="AB8" s="18" t="str">
        <f aca="false">IF(AB$4=$B8,"P",IF(AB$4=$J8,"A",IF(AB$4=$I8,"C",IF(AB$4=$H8,"R",""))))</f>
        <v/>
      </c>
      <c r="AC8" s="18" t="str">
        <f aca="false">IF(AC$4=$B8,"P",IF(AC$4=$J8,"A",IF(AC$4=$I8,"C",IF(AC$4=$H8,"R",""))))</f>
        <v/>
      </c>
      <c r="AD8" s="18" t="str">
        <f aca="false">IF(AD$4=$B8,"P",IF(AD$4=$J8,"A",IF(AD$4=$I8,"C",IF(AD$4=$H8,"R",""))))</f>
        <v/>
      </c>
      <c r="AE8" s="18" t="str">
        <f aca="false">IF(AE$4=$B8,"P",IF(AE$4=$J8,"A",IF(AE$4=$I8,"C",IF(AE$4=$H8,"R",""))))</f>
        <v/>
      </c>
      <c r="AF8" s="18" t="str">
        <f aca="false">IF(AF$4=$B8,"P",IF(AF$4=$J8,"A",IF(AF$4=$I8,"C",IF(AF$4=$H8,"R",""))))</f>
        <v/>
      </c>
      <c r="AG8" s="18" t="str">
        <f aca="false">IF(AG$4=$B8,"P",IF(AG$4=$J8,"A",IF(AG$4=$I8,"C",IF(AG$4=$H8,"R",""))))</f>
        <v/>
      </c>
      <c r="AH8" s="18" t="str">
        <f aca="false">IF(AH$4=$B8,"P",IF(AH$4=$J8,"A",IF(AH$4=$I8,"C",IF(AH$4=$H8,"R",""))))</f>
        <v/>
      </c>
      <c r="AI8" s="18" t="str">
        <f aca="false">IF(AI$4=$B8,"P",IF(AI$4=$J8,"A",IF(AI$4=$I8,"C",IF(AI$4=$H8,"R",""))))</f>
        <v/>
      </c>
      <c r="AJ8" s="18" t="str">
        <f aca="false">IF(AJ$4=$B8,"P",IF(AJ$4=$J8,"A",IF(AJ$4=$I8,"C",IF(AJ$4=$H8,"R",""))))</f>
        <v/>
      </c>
      <c r="AK8" s="18" t="str">
        <f aca="false">IF(AK$4=$B8,"P",IF(AK$4=$J8,"A",IF(AK$4=$I8,"C",IF(AK$4=$H8,"R",""))))</f>
        <v/>
      </c>
      <c r="AL8" s="18" t="str">
        <f aca="false">IF(AL$4=$B8,"P",IF(AL$4=$J8,"A",IF(AL$4=$I8,"C",IF(AL$4=$H8,"R",""))))</f>
        <v/>
      </c>
      <c r="AM8" s="18" t="str">
        <f aca="false">IF(AM$4=$B8,"P",IF(AM$4=$J8,"A",IF(AM$4=$I8,"C",IF(AM$4=$H8,"R",""))))</f>
        <v/>
      </c>
      <c r="AN8" s="18" t="str">
        <f aca="false">IF(AN$4=$B8,"P",IF(AN$4=$J8,"A",IF(AN$4=$I8,"C",IF(AN$4=$H8,"R",""))))</f>
        <v/>
      </c>
      <c r="AO8" s="18" t="str">
        <f aca="false">IF(AO$4=$B8,"P",IF(AO$4=$J8,"A",IF(AO$4=$I8,"C",IF(AO$4=$H8,"R",""))))</f>
        <v/>
      </c>
      <c r="AP8" s="18" t="str">
        <f aca="false">IF(AP$4=$B8,"P",IF(AP$4=$J8,"A",IF(AP$4=$I8,"C",IF(AP$4=$H8,"R",""))))</f>
        <v/>
      </c>
      <c r="AQ8" s="18" t="str">
        <f aca="false">IF(AQ$4=$B8,"P",IF(AQ$4=$J8,"A",IF(AQ$4=$I8,"C",IF(AQ$4=$H8,"R",""))))</f>
        <v/>
      </c>
      <c r="AR8" s="18" t="str">
        <f aca="false">IF(AR$4=$B8,"P",IF(AR$4=$J8,"A",IF(AR$4=$I8,"C",IF(AR$4=$H8,"R",""))))</f>
        <v/>
      </c>
      <c r="AS8" s="18" t="str">
        <f aca="false">IF(AS$4=$B8,"P",IF(AS$4=$J8,"A",IF(AS$4=$I8,"C",IF(AS$4=$H8,"R",""))))</f>
        <v/>
      </c>
      <c r="AT8" s="18" t="str">
        <f aca="false">IF(AT$4=$B8,"P",IF(AT$4=$J8,"A",IF(AT$4=$I8,"C",IF(AT$4=$H8,"R",""))))</f>
        <v/>
      </c>
      <c r="AU8" s="18" t="str">
        <f aca="false">IF(AU$4=$B8,"P",IF(AU$4=$J8,"A",IF(AU$4=$I8,"C",IF(AU$4=$H8,"R",""))))</f>
        <v/>
      </c>
    </row>
    <row r="9" customFormat="false" ht="30" hidden="false" customHeight="true" outlineLevel="0" collapsed="false">
      <c r="A9" s="14" t="s">
        <v>53</v>
      </c>
      <c r="B9" s="15" t="n">
        <v>46323</v>
      </c>
      <c r="C9" s="16" t="str">
        <f aca="false">CHOOSE(WEEKDAY(B9,2),"seg","ter","qua","qui","sex","sáb","dom")</f>
        <v>qua</v>
      </c>
      <c r="D9" s="16" t="n">
        <f aca="false">INT((B9-$B$2)/7)+1</f>
        <v>2</v>
      </c>
      <c r="E9" s="14" t="s">
        <v>49</v>
      </c>
      <c r="F9" s="14" t="s">
        <v>54</v>
      </c>
      <c r="G9" s="14" t="s">
        <v>55</v>
      </c>
      <c r="H9" s="15" t="n">
        <f aca="false">WORKDAY(B9,-$F$2,Listas!$A$3:$A$6)</f>
        <v>46316</v>
      </c>
      <c r="I9" s="15" t="n">
        <f aca="false">WORKDAY(B9,-$H$2,Listas!$A$3:$A$6)</f>
        <v>46321</v>
      </c>
      <c r="J9" s="15" t="n">
        <f aca="false">WORKDAY(B9,-$J$2,Listas!$A$3:$A$6)</f>
        <v>46322</v>
      </c>
      <c r="K9" s="14" t="s">
        <v>47</v>
      </c>
      <c r="L9" s="14"/>
      <c r="M9" s="18" t="str">
        <f aca="false">IF(M$4=$B9,"P",IF(M$4=$J9,"A",IF(M$4=$I9,"C",IF(M$4=$H9,"R",""))))</f>
        <v/>
      </c>
      <c r="N9" s="18" t="str">
        <f aca="false">IF(N$4=$B9,"P",IF(N$4=$J9,"A",IF(N$4=$I9,"C",IF(N$4=$H9,"R",""))))</f>
        <v/>
      </c>
      <c r="O9" s="18" t="str">
        <f aca="false">IF(O$4=$B9,"P",IF(O$4=$J9,"A",IF(O$4=$I9,"C",IF(O$4=$H9,"R",""))))</f>
        <v/>
      </c>
      <c r="P9" s="18" t="str">
        <f aca="false">IF(P$4=$B9,"P",IF(P$4=$J9,"A",IF(P$4=$I9,"C",IF(P$4=$H9,"R",""))))</f>
        <v/>
      </c>
      <c r="Q9" s="18" t="str">
        <f aca="false">IF(Q$4=$B9,"P",IF(Q$4=$J9,"A",IF(Q$4=$I9,"C",IF(Q$4=$H9,"R",""))))</f>
        <v/>
      </c>
      <c r="R9" s="18" t="str">
        <f aca="false">IF(R$4=$B9,"P",IF(R$4=$J9,"A",IF(R$4=$I9,"C",IF(R$4=$H9,"R",""))))</f>
        <v/>
      </c>
      <c r="S9" s="18" t="str">
        <f aca="false">IF(S$4=$B9,"P",IF(S$4=$J9,"A",IF(S$4=$I9,"C",IF(S$4=$H9,"R",""))))</f>
        <v/>
      </c>
      <c r="T9" s="18" t="str">
        <f aca="false">IF(T$4=$B9,"P",IF(T$4=$J9,"A",IF(T$4=$I9,"C",IF(T$4=$H9,"R",""))))</f>
        <v/>
      </c>
      <c r="U9" s="18" t="str">
        <f aca="false">IF(U$4=$B9,"P",IF(U$4=$J9,"A",IF(U$4=$I9,"C",IF(U$4=$H9,"R",""))))</f>
        <v/>
      </c>
      <c r="V9" s="18" t="str">
        <f aca="false">IF(V$4=$B9,"P",IF(V$4=$J9,"A",IF(V$4=$I9,"C",IF(V$4=$H9,"R",""))))</f>
        <v>R</v>
      </c>
      <c r="W9" s="18" t="str">
        <f aca="false">IF(W$4=$B9,"P",IF(W$4=$J9,"A",IF(W$4=$I9,"C",IF(W$4=$H9,"R",""))))</f>
        <v/>
      </c>
      <c r="X9" s="18" t="str">
        <f aca="false">IF(X$4=$B9,"P",IF(X$4=$J9,"A",IF(X$4=$I9,"C",IF(X$4=$H9,"R",""))))</f>
        <v/>
      </c>
      <c r="Y9" s="18" t="str">
        <f aca="false">IF(Y$4=$B9,"P",IF(Y$4=$J9,"A",IF(Y$4=$I9,"C",IF(Y$4=$H9,"R",""))))</f>
        <v/>
      </c>
      <c r="Z9" s="18" t="str">
        <f aca="false">IF(Z$4=$B9,"P",IF(Z$4=$J9,"A",IF(Z$4=$I9,"C",IF(Z$4=$H9,"R",""))))</f>
        <v/>
      </c>
      <c r="AA9" s="18" t="str">
        <f aca="false">IF(AA$4=$B9,"P",IF(AA$4=$J9,"A",IF(AA$4=$I9,"C",IF(AA$4=$H9,"R",""))))</f>
        <v>C</v>
      </c>
      <c r="AB9" s="18" t="str">
        <f aca="false">IF(AB$4=$B9,"P",IF(AB$4=$J9,"A",IF(AB$4=$I9,"C",IF(AB$4=$H9,"R",""))))</f>
        <v>A</v>
      </c>
      <c r="AC9" s="18" t="str">
        <f aca="false">IF(AC$4=$B9,"P",IF(AC$4=$J9,"A",IF(AC$4=$I9,"C",IF(AC$4=$H9,"R",""))))</f>
        <v>P</v>
      </c>
      <c r="AD9" s="18" t="str">
        <f aca="false">IF(AD$4=$B9,"P",IF(AD$4=$J9,"A",IF(AD$4=$I9,"C",IF(AD$4=$H9,"R",""))))</f>
        <v/>
      </c>
      <c r="AE9" s="18" t="str">
        <f aca="false">IF(AE$4=$B9,"P",IF(AE$4=$J9,"A",IF(AE$4=$I9,"C",IF(AE$4=$H9,"R",""))))</f>
        <v/>
      </c>
      <c r="AF9" s="18" t="str">
        <f aca="false">IF(AF$4=$B9,"P",IF(AF$4=$J9,"A",IF(AF$4=$I9,"C",IF(AF$4=$H9,"R",""))))</f>
        <v/>
      </c>
      <c r="AG9" s="18" t="str">
        <f aca="false">IF(AG$4=$B9,"P",IF(AG$4=$J9,"A",IF(AG$4=$I9,"C",IF(AG$4=$H9,"R",""))))</f>
        <v/>
      </c>
      <c r="AH9" s="18" t="str">
        <f aca="false">IF(AH$4=$B9,"P",IF(AH$4=$J9,"A",IF(AH$4=$I9,"C",IF(AH$4=$H9,"R",""))))</f>
        <v/>
      </c>
      <c r="AI9" s="18" t="str">
        <f aca="false">IF(AI$4=$B9,"P",IF(AI$4=$J9,"A",IF(AI$4=$I9,"C",IF(AI$4=$H9,"R",""))))</f>
        <v/>
      </c>
      <c r="AJ9" s="18" t="str">
        <f aca="false">IF(AJ$4=$B9,"P",IF(AJ$4=$J9,"A",IF(AJ$4=$I9,"C",IF(AJ$4=$H9,"R",""))))</f>
        <v/>
      </c>
      <c r="AK9" s="18" t="str">
        <f aca="false">IF(AK$4=$B9,"P",IF(AK$4=$J9,"A",IF(AK$4=$I9,"C",IF(AK$4=$H9,"R",""))))</f>
        <v/>
      </c>
      <c r="AL9" s="18" t="str">
        <f aca="false">IF(AL$4=$B9,"P",IF(AL$4=$J9,"A",IF(AL$4=$I9,"C",IF(AL$4=$H9,"R",""))))</f>
        <v/>
      </c>
      <c r="AM9" s="18" t="str">
        <f aca="false">IF(AM$4=$B9,"P",IF(AM$4=$J9,"A",IF(AM$4=$I9,"C",IF(AM$4=$H9,"R",""))))</f>
        <v/>
      </c>
      <c r="AN9" s="18" t="str">
        <f aca="false">IF(AN$4=$B9,"P",IF(AN$4=$J9,"A",IF(AN$4=$I9,"C",IF(AN$4=$H9,"R",""))))</f>
        <v/>
      </c>
      <c r="AO9" s="18" t="str">
        <f aca="false">IF(AO$4=$B9,"P",IF(AO$4=$J9,"A",IF(AO$4=$I9,"C",IF(AO$4=$H9,"R",""))))</f>
        <v/>
      </c>
      <c r="AP9" s="18" t="str">
        <f aca="false">IF(AP$4=$B9,"P",IF(AP$4=$J9,"A",IF(AP$4=$I9,"C",IF(AP$4=$H9,"R",""))))</f>
        <v/>
      </c>
      <c r="AQ9" s="18" t="str">
        <f aca="false">IF(AQ$4=$B9,"P",IF(AQ$4=$J9,"A",IF(AQ$4=$I9,"C",IF(AQ$4=$H9,"R",""))))</f>
        <v/>
      </c>
      <c r="AR9" s="18" t="str">
        <f aca="false">IF(AR$4=$B9,"P",IF(AR$4=$J9,"A",IF(AR$4=$I9,"C",IF(AR$4=$H9,"R",""))))</f>
        <v/>
      </c>
      <c r="AS9" s="18" t="str">
        <f aca="false">IF(AS$4=$B9,"P",IF(AS$4=$J9,"A",IF(AS$4=$I9,"C",IF(AS$4=$H9,"R",""))))</f>
        <v/>
      </c>
      <c r="AT9" s="18" t="str">
        <f aca="false">IF(AT$4=$B9,"P",IF(AT$4=$J9,"A",IF(AT$4=$I9,"C",IF(AT$4=$H9,"R",""))))</f>
        <v/>
      </c>
      <c r="AU9" s="18" t="str">
        <f aca="false">IF(AU$4=$B9,"P",IF(AU$4=$J9,"A",IF(AU$4=$I9,"C",IF(AU$4=$H9,"R",""))))</f>
        <v/>
      </c>
    </row>
    <row r="10" customFormat="false" ht="30" hidden="false" customHeight="true" outlineLevel="0" collapsed="false">
      <c r="A10" s="14" t="s">
        <v>56</v>
      </c>
      <c r="B10" s="15" t="n">
        <v>46325</v>
      </c>
      <c r="C10" s="16" t="str">
        <f aca="false">CHOOSE(WEEKDAY(B10,2),"seg","ter","qua","qui","sex","sáb","dom")</f>
        <v>sex</v>
      </c>
      <c r="D10" s="16" t="n">
        <f aca="false">INT((B10-$B$2)/7)+1</f>
        <v>2</v>
      </c>
      <c r="E10" s="14" t="s">
        <v>49</v>
      </c>
      <c r="F10" s="14" t="s">
        <v>45</v>
      </c>
      <c r="G10" s="14" t="s">
        <v>57</v>
      </c>
      <c r="H10" s="15" t="n">
        <f aca="false">WORKDAY(B10,-$F$2,Listas!$A$3:$A$6)</f>
        <v>46318</v>
      </c>
      <c r="I10" s="15" t="n">
        <f aca="false">WORKDAY(B10,-$H$2,Listas!$A$3:$A$6)</f>
        <v>46323</v>
      </c>
      <c r="J10" s="15" t="n">
        <f aca="false">WORKDAY(B10,-$J$2,Listas!$A$3:$A$6)</f>
        <v>46324</v>
      </c>
      <c r="K10" s="14" t="s">
        <v>43</v>
      </c>
      <c r="L10" s="14"/>
      <c r="M10" s="18" t="str">
        <f aca="false">IF(M$4=$B10,"P",IF(M$4=$J10,"A",IF(M$4=$I10,"C",IF(M$4=$H10,"R",""))))</f>
        <v/>
      </c>
      <c r="N10" s="18" t="str">
        <f aca="false">IF(N$4=$B10,"P",IF(N$4=$J10,"A",IF(N$4=$I10,"C",IF(N$4=$H10,"R",""))))</f>
        <v/>
      </c>
      <c r="O10" s="18" t="str">
        <f aca="false">IF(O$4=$B10,"P",IF(O$4=$J10,"A",IF(O$4=$I10,"C",IF(O$4=$H10,"R",""))))</f>
        <v/>
      </c>
      <c r="P10" s="18" t="str">
        <f aca="false">IF(P$4=$B10,"P",IF(P$4=$J10,"A",IF(P$4=$I10,"C",IF(P$4=$H10,"R",""))))</f>
        <v/>
      </c>
      <c r="Q10" s="18" t="str">
        <f aca="false">IF(Q$4=$B10,"P",IF(Q$4=$J10,"A",IF(Q$4=$I10,"C",IF(Q$4=$H10,"R",""))))</f>
        <v/>
      </c>
      <c r="R10" s="18" t="str">
        <f aca="false">IF(R$4=$B10,"P",IF(R$4=$J10,"A",IF(R$4=$I10,"C",IF(R$4=$H10,"R",""))))</f>
        <v/>
      </c>
      <c r="S10" s="18" t="str">
        <f aca="false">IF(S$4=$B10,"P",IF(S$4=$J10,"A",IF(S$4=$I10,"C",IF(S$4=$H10,"R",""))))</f>
        <v/>
      </c>
      <c r="T10" s="18" t="str">
        <f aca="false">IF(T$4=$B10,"P",IF(T$4=$J10,"A",IF(T$4=$I10,"C",IF(T$4=$H10,"R",""))))</f>
        <v/>
      </c>
      <c r="U10" s="18" t="str">
        <f aca="false">IF(U$4=$B10,"P",IF(U$4=$J10,"A",IF(U$4=$I10,"C",IF(U$4=$H10,"R",""))))</f>
        <v/>
      </c>
      <c r="V10" s="18" t="str">
        <f aca="false">IF(V$4=$B10,"P",IF(V$4=$J10,"A",IF(V$4=$I10,"C",IF(V$4=$H10,"R",""))))</f>
        <v/>
      </c>
      <c r="W10" s="18" t="str">
        <f aca="false">IF(W$4=$B10,"P",IF(W$4=$J10,"A",IF(W$4=$I10,"C",IF(W$4=$H10,"R",""))))</f>
        <v/>
      </c>
      <c r="X10" s="18" t="str">
        <f aca="false">IF(X$4=$B10,"P",IF(X$4=$J10,"A",IF(X$4=$I10,"C",IF(X$4=$H10,"R",""))))</f>
        <v>R</v>
      </c>
      <c r="Y10" s="18" t="str">
        <f aca="false">IF(Y$4=$B10,"P",IF(Y$4=$J10,"A",IF(Y$4=$I10,"C",IF(Y$4=$H10,"R",""))))</f>
        <v/>
      </c>
      <c r="Z10" s="18" t="str">
        <f aca="false">IF(Z$4=$B10,"P",IF(Z$4=$J10,"A",IF(Z$4=$I10,"C",IF(Z$4=$H10,"R",""))))</f>
        <v/>
      </c>
      <c r="AA10" s="18" t="str">
        <f aca="false">IF(AA$4=$B10,"P",IF(AA$4=$J10,"A",IF(AA$4=$I10,"C",IF(AA$4=$H10,"R",""))))</f>
        <v/>
      </c>
      <c r="AB10" s="18" t="str">
        <f aca="false">IF(AB$4=$B10,"P",IF(AB$4=$J10,"A",IF(AB$4=$I10,"C",IF(AB$4=$H10,"R",""))))</f>
        <v/>
      </c>
      <c r="AC10" s="18" t="str">
        <f aca="false">IF(AC$4=$B10,"P",IF(AC$4=$J10,"A",IF(AC$4=$I10,"C",IF(AC$4=$H10,"R",""))))</f>
        <v>C</v>
      </c>
      <c r="AD10" s="18" t="str">
        <f aca="false">IF(AD$4=$B10,"P",IF(AD$4=$J10,"A",IF(AD$4=$I10,"C",IF(AD$4=$H10,"R",""))))</f>
        <v>A</v>
      </c>
      <c r="AE10" s="18" t="str">
        <f aca="false">IF(AE$4=$B10,"P",IF(AE$4=$J10,"A",IF(AE$4=$I10,"C",IF(AE$4=$H10,"R",""))))</f>
        <v>P</v>
      </c>
      <c r="AF10" s="18" t="str">
        <f aca="false">IF(AF$4=$B10,"P",IF(AF$4=$J10,"A",IF(AF$4=$I10,"C",IF(AF$4=$H10,"R",""))))</f>
        <v/>
      </c>
      <c r="AG10" s="18" t="str">
        <f aca="false">IF(AG$4=$B10,"P",IF(AG$4=$J10,"A",IF(AG$4=$I10,"C",IF(AG$4=$H10,"R",""))))</f>
        <v/>
      </c>
      <c r="AH10" s="18" t="str">
        <f aca="false">IF(AH$4=$B10,"P",IF(AH$4=$J10,"A",IF(AH$4=$I10,"C",IF(AH$4=$H10,"R",""))))</f>
        <v/>
      </c>
      <c r="AI10" s="18" t="str">
        <f aca="false">IF(AI$4=$B10,"P",IF(AI$4=$J10,"A",IF(AI$4=$I10,"C",IF(AI$4=$H10,"R",""))))</f>
        <v/>
      </c>
      <c r="AJ10" s="18" t="str">
        <f aca="false">IF(AJ$4=$B10,"P",IF(AJ$4=$J10,"A",IF(AJ$4=$I10,"C",IF(AJ$4=$H10,"R",""))))</f>
        <v/>
      </c>
      <c r="AK10" s="18" t="str">
        <f aca="false">IF(AK$4=$B10,"P",IF(AK$4=$J10,"A",IF(AK$4=$I10,"C",IF(AK$4=$H10,"R",""))))</f>
        <v/>
      </c>
      <c r="AL10" s="18" t="str">
        <f aca="false">IF(AL$4=$B10,"P",IF(AL$4=$J10,"A",IF(AL$4=$I10,"C",IF(AL$4=$H10,"R",""))))</f>
        <v/>
      </c>
      <c r="AM10" s="18" t="str">
        <f aca="false">IF(AM$4=$B10,"P",IF(AM$4=$J10,"A",IF(AM$4=$I10,"C",IF(AM$4=$H10,"R",""))))</f>
        <v/>
      </c>
      <c r="AN10" s="18" t="str">
        <f aca="false">IF(AN$4=$B10,"P",IF(AN$4=$J10,"A",IF(AN$4=$I10,"C",IF(AN$4=$H10,"R",""))))</f>
        <v/>
      </c>
      <c r="AO10" s="18" t="str">
        <f aca="false">IF(AO$4=$B10,"P",IF(AO$4=$J10,"A",IF(AO$4=$I10,"C",IF(AO$4=$H10,"R",""))))</f>
        <v/>
      </c>
      <c r="AP10" s="18" t="str">
        <f aca="false">IF(AP$4=$B10,"P",IF(AP$4=$J10,"A",IF(AP$4=$I10,"C",IF(AP$4=$H10,"R",""))))</f>
        <v/>
      </c>
      <c r="AQ10" s="18" t="str">
        <f aca="false">IF(AQ$4=$B10,"P",IF(AQ$4=$J10,"A",IF(AQ$4=$I10,"C",IF(AQ$4=$H10,"R",""))))</f>
        <v/>
      </c>
      <c r="AR10" s="18" t="str">
        <f aca="false">IF(AR$4=$B10,"P",IF(AR$4=$J10,"A",IF(AR$4=$I10,"C",IF(AR$4=$H10,"R",""))))</f>
        <v/>
      </c>
      <c r="AS10" s="18" t="str">
        <f aca="false">IF(AS$4=$B10,"P",IF(AS$4=$J10,"A",IF(AS$4=$I10,"C",IF(AS$4=$H10,"R",""))))</f>
        <v/>
      </c>
      <c r="AT10" s="18" t="str">
        <f aca="false">IF(AT$4=$B10,"P",IF(AT$4=$J10,"A",IF(AT$4=$I10,"C",IF(AT$4=$H10,"R",""))))</f>
        <v/>
      </c>
      <c r="AU10" s="18" t="str">
        <f aca="false">IF(AU$4=$B10,"P",IF(AU$4=$J10,"A",IF(AU$4=$I10,"C",IF(AU$4=$H10,"R",""))))</f>
        <v/>
      </c>
    </row>
    <row r="11" customFormat="false" ht="30" hidden="false" customHeight="true" outlineLevel="0" collapsed="false">
      <c r="A11" s="14" t="s">
        <v>58</v>
      </c>
      <c r="B11" s="15" t="n">
        <v>46329</v>
      </c>
      <c r="C11" s="16" t="str">
        <f aca="false">CHOOSE(WEEKDAY(B11,2),"seg","ter","qua","qui","sex","sáb","dom")</f>
        <v>ter</v>
      </c>
      <c r="D11" s="16" t="n">
        <f aca="false">INT((B11-$B$2)/7)+1</f>
        <v>3</v>
      </c>
      <c r="E11" s="14" t="s">
        <v>59</v>
      </c>
      <c r="F11" s="14" t="s">
        <v>45</v>
      </c>
      <c r="G11" s="14" t="s">
        <v>60</v>
      </c>
      <c r="H11" s="15" t="n">
        <f aca="false">WORKDAY(B11,-$F$2,Listas!$A$3:$A$6)</f>
        <v>46321</v>
      </c>
      <c r="I11" s="15" t="n">
        <f aca="false">WORKDAY(B11,-$H$2,Listas!$A$3:$A$6)</f>
        <v>46324</v>
      </c>
      <c r="J11" s="15" t="n">
        <f aca="false">WORKDAY(B11,-$J$2,Listas!$A$3:$A$6)</f>
        <v>46325</v>
      </c>
      <c r="K11" s="14" t="s">
        <v>61</v>
      </c>
      <c r="L11" s="14"/>
      <c r="M11" s="18" t="str">
        <f aca="false">IF(M$4=$B11,"P",IF(M$4=$J11,"A",IF(M$4=$I11,"C",IF(M$4=$H11,"R",""))))</f>
        <v/>
      </c>
      <c r="N11" s="18" t="str">
        <f aca="false">IF(N$4=$B11,"P",IF(N$4=$J11,"A",IF(N$4=$I11,"C",IF(N$4=$H11,"R",""))))</f>
        <v/>
      </c>
      <c r="O11" s="18" t="str">
        <f aca="false">IF(O$4=$B11,"P",IF(O$4=$J11,"A",IF(O$4=$I11,"C",IF(O$4=$H11,"R",""))))</f>
        <v/>
      </c>
      <c r="P11" s="18" t="str">
        <f aca="false">IF(P$4=$B11,"P",IF(P$4=$J11,"A",IF(P$4=$I11,"C",IF(P$4=$H11,"R",""))))</f>
        <v/>
      </c>
      <c r="Q11" s="18" t="str">
        <f aca="false">IF(Q$4=$B11,"P",IF(Q$4=$J11,"A",IF(Q$4=$I11,"C",IF(Q$4=$H11,"R",""))))</f>
        <v/>
      </c>
      <c r="R11" s="18" t="str">
        <f aca="false">IF(R$4=$B11,"P",IF(R$4=$J11,"A",IF(R$4=$I11,"C",IF(R$4=$H11,"R",""))))</f>
        <v/>
      </c>
      <c r="S11" s="18" t="str">
        <f aca="false">IF(S$4=$B11,"P",IF(S$4=$J11,"A",IF(S$4=$I11,"C",IF(S$4=$H11,"R",""))))</f>
        <v/>
      </c>
      <c r="T11" s="18" t="str">
        <f aca="false">IF(T$4=$B11,"P",IF(T$4=$J11,"A",IF(T$4=$I11,"C",IF(T$4=$H11,"R",""))))</f>
        <v/>
      </c>
      <c r="U11" s="18" t="str">
        <f aca="false">IF(U$4=$B11,"P",IF(U$4=$J11,"A",IF(U$4=$I11,"C",IF(U$4=$H11,"R",""))))</f>
        <v/>
      </c>
      <c r="V11" s="18" t="str">
        <f aca="false">IF(V$4=$B11,"P",IF(V$4=$J11,"A",IF(V$4=$I11,"C",IF(V$4=$H11,"R",""))))</f>
        <v/>
      </c>
      <c r="W11" s="18" t="str">
        <f aca="false">IF(W$4=$B11,"P",IF(W$4=$J11,"A",IF(W$4=$I11,"C",IF(W$4=$H11,"R",""))))</f>
        <v/>
      </c>
      <c r="X11" s="18" t="str">
        <f aca="false">IF(X$4=$B11,"P",IF(X$4=$J11,"A",IF(X$4=$I11,"C",IF(X$4=$H11,"R",""))))</f>
        <v/>
      </c>
      <c r="Y11" s="18" t="str">
        <f aca="false">IF(Y$4=$B11,"P",IF(Y$4=$J11,"A",IF(Y$4=$I11,"C",IF(Y$4=$H11,"R",""))))</f>
        <v/>
      </c>
      <c r="Z11" s="18" t="str">
        <f aca="false">IF(Z$4=$B11,"P",IF(Z$4=$J11,"A",IF(Z$4=$I11,"C",IF(Z$4=$H11,"R",""))))</f>
        <v/>
      </c>
      <c r="AA11" s="18" t="str">
        <f aca="false">IF(AA$4=$B11,"P",IF(AA$4=$J11,"A",IF(AA$4=$I11,"C",IF(AA$4=$H11,"R",""))))</f>
        <v>R</v>
      </c>
      <c r="AB11" s="18" t="str">
        <f aca="false">IF(AB$4=$B11,"P",IF(AB$4=$J11,"A",IF(AB$4=$I11,"C",IF(AB$4=$H11,"R",""))))</f>
        <v/>
      </c>
      <c r="AC11" s="18" t="str">
        <f aca="false">IF(AC$4=$B11,"P",IF(AC$4=$J11,"A",IF(AC$4=$I11,"C",IF(AC$4=$H11,"R",""))))</f>
        <v/>
      </c>
      <c r="AD11" s="18" t="str">
        <f aca="false">IF(AD$4=$B11,"P",IF(AD$4=$J11,"A",IF(AD$4=$I11,"C",IF(AD$4=$H11,"R",""))))</f>
        <v>C</v>
      </c>
      <c r="AE11" s="18" t="str">
        <f aca="false">IF(AE$4=$B11,"P",IF(AE$4=$J11,"A",IF(AE$4=$I11,"C",IF(AE$4=$H11,"R",""))))</f>
        <v>A</v>
      </c>
      <c r="AF11" s="18" t="str">
        <f aca="false">IF(AF$4=$B11,"P",IF(AF$4=$J11,"A",IF(AF$4=$I11,"C",IF(AF$4=$H11,"R",""))))</f>
        <v/>
      </c>
      <c r="AG11" s="18" t="str">
        <f aca="false">IF(AG$4=$B11,"P",IF(AG$4=$J11,"A",IF(AG$4=$I11,"C",IF(AG$4=$H11,"R",""))))</f>
        <v/>
      </c>
      <c r="AH11" s="18" t="str">
        <f aca="false">IF(AH$4=$B11,"P",IF(AH$4=$J11,"A",IF(AH$4=$I11,"C",IF(AH$4=$H11,"R",""))))</f>
        <v/>
      </c>
      <c r="AI11" s="18" t="str">
        <f aca="false">IF(AI$4=$B11,"P",IF(AI$4=$J11,"A",IF(AI$4=$I11,"C",IF(AI$4=$H11,"R",""))))</f>
        <v>P</v>
      </c>
      <c r="AJ11" s="18" t="str">
        <f aca="false">IF(AJ$4=$B11,"P",IF(AJ$4=$J11,"A",IF(AJ$4=$I11,"C",IF(AJ$4=$H11,"R",""))))</f>
        <v/>
      </c>
      <c r="AK11" s="18" t="str">
        <f aca="false">IF(AK$4=$B11,"P",IF(AK$4=$J11,"A",IF(AK$4=$I11,"C",IF(AK$4=$H11,"R",""))))</f>
        <v/>
      </c>
      <c r="AL11" s="18" t="str">
        <f aca="false">IF(AL$4=$B11,"P",IF(AL$4=$J11,"A",IF(AL$4=$I11,"C",IF(AL$4=$H11,"R",""))))</f>
        <v/>
      </c>
      <c r="AM11" s="18" t="str">
        <f aca="false">IF(AM$4=$B11,"P",IF(AM$4=$J11,"A",IF(AM$4=$I11,"C",IF(AM$4=$H11,"R",""))))</f>
        <v/>
      </c>
      <c r="AN11" s="18" t="str">
        <f aca="false">IF(AN$4=$B11,"P",IF(AN$4=$J11,"A",IF(AN$4=$I11,"C",IF(AN$4=$H11,"R",""))))</f>
        <v/>
      </c>
      <c r="AO11" s="18" t="str">
        <f aca="false">IF(AO$4=$B11,"P",IF(AO$4=$J11,"A",IF(AO$4=$I11,"C",IF(AO$4=$H11,"R",""))))</f>
        <v/>
      </c>
      <c r="AP11" s="18" t="str">
        <f aca="false">IF(AP$4=$B11,"P",IF(AP$4=$J11,"A",IF(AP$4=$I11,"C",IF(AP$4=$H11,"R",""))))</f>
        <v/>
      </c>
      <c r="AQ11" s="18" t="str">
        <f aca="false">IF(AQ$4=$B11,"P",IF(AQ$4=$J11,"A",IF(AQ$4=$I11,"C",IF(AQ$4=$H11,"R",""))))</f>
        <v/>
      </c>
      <c r="AR11" s="18" t="str">
        <f aca="false">IF(AR$4=$B11,"P",IF(AR$4=$J11,"A",IF(AR$4=$I11,"C",IF(AR$4=$H11,"R",""))))</f>
        <v/>
      </c>
      <c r="AS11" s="18" t="str">
        <f aca="false">IF(AS$4=$B11,"P",IF(AS$4=$J11,"A",IF(AS$4=$I11,"C",IF(AS$4=$H11,"R",""))))</f>
        <v/>
      </c>
      <c r="AT11" s="18" t="str">
        <f aca="false">IF(AT$4=$B11,"P",IF(AT$4=$J11,"A",IF(AT$4=$I11,"C",IF(AT$4=$H11,"R",""))))</f>
        <v/>
      </c>
      <c r="AU11" s="18" t="str">
        <f aca="false">IF(AU$4=$B11,"P",IF(AU$4=$J11,"A",IF(AU$4=$I11,"C",IF(AU$4=$H11,"R",""))))</f>
        <v/>
      </c>
    </row>
    <row r="12" customFormat="false" ht="30" hidden="false" customHeight="true" outlineLevel="0" collapsed="false">
      <c r="A12" s="14" t="s">
        <v>62</v>
      </c>
      <c r="B12" s="15" t="n">
        <v>46330</v>
      </c>
      <c r="C12" s="16" t="str">
        <f aca="false">CHOOSE(WEEKDAY(B12,2),"seg","ter","qua","qui","sex","sáb","dom")</f>
        <v>qua</v>
      </c>
      <c r="D12" s="16" t="n">
        <f aca="false">INT((B12-$B$2)/7)+1</f>
        <v>3</v>
      </c>
      <c r="E12" s="14" t="s">
        <v>59</v>
      </c>
      <c r="F12" s="14" t="s">
        <v>41</v>
      </c>
      <c r="G12" s="14" t="s">
        <v>63</v>
      </c>
      <c r="H12" s="15" t="n">
        <f aca="false">WORKDAY(B12,-$F$2,Listas!$A$3:$A$6)</f>
        <v>46322</v>
      </c>
      <c r="I12" s="15" t="n">
        <f aca="false">WORKDAY(B12,-$H$2,Listas!$A$3:$A$6)</f>
        <v>46325</v>
      </c>
      <c r="J12" s="15" t="n">
        <f aca="false">WORKDAY(B12,-$J$2,Listas!$A$3:$A$6)</f>
        <v>46329</v>
      </c>
      <c r="K12" s="14" t="s">
        <v>43</v>
      </c>
      <c r="L12" s="14"/>
      <c r="M12" s="18" t="str">
        <f aca="false">IF(M$4=$B12,"P",IF(M$4=$J12,"A",IF(M$4=$I12,"C",IF(M$4=$H12,"R",""))))</f>
        <v/>
      </c>
      <c r="N12" s="18" t="str">
        <f aca="false">IF(N$4=$B12,"P",IF(N$4=$J12,"A",IF(N$4=$I12,"C",IF(N$4=$H12,"R",""))))</f>
        <v/>
      </c>
      <c r="O12" s="18" t="str">
        <f aca="false">IF(O$4=$B12,"P",IF(O$4=$J12,"A",IF(O$4=$I12,"C",IF(O$4=$H12,"R",""))))</f>
        <v/>
      </c>
      <c r="P12" s="18" t="str">
        <f aca="false">IF(P$4=$B12,"P",IF(P$4=$J12,"A",IF(P$4=$I12,"C",IF(P$4=$H12,"R",""))))</f>
        <v/>
      </c>
      <c r="Q12" s="18" t="str">
        <f aca="false">IF(Q$4=$B12,"P",IF(Q$4=$J12,"A",IF(Q$4=$I12,"C",IF(Q$4=$H12,"R",""))))</f>
        <v/>
      </c>
      <c r="R12" s="18" t="str">
        <f aca="false">IF(R$4=$B12,"P",IF(R$4=$J12,"A",IF(R$4=$I12,"C",IF(R$4=$H12,"R",""))))</f>
        <v/>
      </c>
      <c r="S12" s="18" t="str">
        <f aca="false">IF(S$4=$B12,"P",IF(S$4=$J12,"A",IF(S$4=$I12,"C",IF(S$4=$H12,"R",""))))</f>
        <v/>
      </c>
      <c r="T12" s="18" t="str">
        <f aca="false">IF(T$4=$B12,"P",IF(T$4=$J12,"A",IF(T$4=$I12,"C",IF(T$4=$H12,"R",""))))</f>
        <v/>
      </c>
      <c r="U12" s="18" t="str">
        <f aca="false">IF(U$4=$B12,"P",IF(U$4=$J12,"A",IF(U$4=$I12,"C",IF(U$4=$H12,"R",""))))</f>
        <v/>
      </c>
      <c r="V12" s="18" t="str">
        <f aca="false">IF(V$4=$B12,"P",IF(V$4=$J12,"A",IF(V$4=$I12,"C",IF(V$4=$H12,"R",""))))</f>
        <v/>
      </c>
      <c r="W12" s="18" t="str">
        <f aca="false">IF(W$4=$B12,"P",IF(W$4=$J12,"A",IF(W$4=$I12,"C",IF(W$4=$H12,"R",""))))</f>
        <v/>
      </c>
      <c r="X12" s="18" t="str">
        <f aca="false">IF(X$4=$B12,"P",IF(X$4=$J12,"A",IF(X$4=$I12,"C",IF(X$4=$H12,"R",""))))</f>
        <v/>
      </c>
      <c r="Y12" s="18" t="str">
        <f aca="false">IF(Y$4=$B12,"P",IF(Y$4=$J12,"A",IF(Y$4=$I12,"C",IF(Y$4=$H12,"R",""))))</f>
        <v/>
      </c>
      <c r="Z12" s="18" t="str">
        <f aca="false">IF(Z$4=$B12,"P",IF(Z$4=$J12,"A",IF(Z$4=$I12,"C",IF(Z$4=$H12,"R",""))))</f>
        <v/>
      </c>
      <c r="AA12" s="18" t="str">
        <f aca="false">IF(AA$4=$B12,"P",IF(AA$4=$J12,"A",IF(AA$4=$I12,"C",IF(AA$4=$H12,"R",""))))</f>
        <v/>
      </c>
      <c r="AB12" s="18" t="str">
        <f aca="false">IF(AB$4=$B12,"P",IF(AB$4=$J12,"A",IF(AB$4=$I12,"C",IF(AB$4=$H12,"R",""))))</f>
        <v>R</v>
      </c>
      <c r="AC12" s="18" t="str">
        <f aca="false">IF(AC$4=$B12,"P",IF(AC$4=$J12,"A",IF(AC$4=$I12,"C",IF(AC$4=$H12,"R",""))))</f>
        <v/>
      </c>
      <c r="AD12" s="18" t="str">
        <f aca="false">IF(AD$4=$B12,"P",IF(AD$4=$J12,"A",IF(AD$4=$I12,"C",IF(AD$4=$H12,"R",""))))</f>
        <v/>
      </c>
      <c r="AE12" s="18" t="str">
        <f aca="false">IF(AE$4=$B12,"P",IF(AE$4=$J12,"A",IF(AE$4=$I12,"C",IF(AE$4=$H12,"R",""))))</f>
        <v>C</v>
      </c>
      <c r="AF12" s="18" t="str">
        <f aca="false">IF(AF$4=$B12,"P",IF(AF$4=$J12,"A",IF(AF$4=$I12,"C",IF(AF$4=$H12,"R",""))))</f>
        <v/>
      </c>
      <c r="AG12" s="18" t="str">
        <f aca="false">IF(AG$4=$B12,"P",IF(AG$4=$J12,"A",IF(AG$4=$I12,"C",IF(AG$4=$H12,"R",""))))</f>
        <v/>
      </c>
      <c r="AH12" s="18" t="str">
        <f aca="false">IF(AH$4=$B12,"P",IF(AH$4=$J12,"A",IF(AH$4=$I12,"C",IF(AH$4=$H12,"R",""))))</f>
        <v/>
      </c>
      <c r="AI12" s="18" t="str">
        <f aca="false">IF(AI$4=$B12,"P",IF(AI$4=$J12,"A",IF(AI$4=$I12,"C",IF(AI$4=$H12,"R",""))))</f>
        <v>A</v>
      </c>
      <c r="AJ12" s="18" t="str">
        <f aca="false">IF(AJ$4=$B12,"P",IF(AJ$4=$J12,"A",IF(AJ$4=$I12,"C",IF(AJ$4=$H12,"R",""))))</f>
        <v>P</v>
      </c>
      <c r="AK12" s="18" t="str">
        <f aca="false">IF(AK$4=$B12,"P",IF(AK$4=$J12,"A",IF(AK$4=$I12,"C",IF(AK$4=$H12,"R",""))))</f>
        <v/>
      </c>
      <c r="AL12" s="18" t="str">
        <f aca="false">IF(AL$4=$B12,"P",IF(AL$4=$J12,"A",IF(AL$4=$I12,"C",IF(AL$4=$H12,"R",""))))</f>
        <v/>
      </c>
      <c r="AM12" s="18" t="str">
        <f aca="false">IF(AM$4=$B12,"P",IF(AM$4=$J12,"A",IF(AM$4=$I12,"C",IF(AM$4=$H12,"R",""))))</f>
        <v/>
      </c>
      <c r="AN12" s="18" t="str">
        <f aca="false">IF(AN$4=$B12,"P",IF(AN$4=$J12,"A",IF(AN$4=$I12,"C",IF(AN$4=$H12,"R",""))))</f>
        <v/>
      </c>
      <c r="AO12" s="18" t="str">
        <f aca="false">IF(AO$4=$B12,"P",IF(AO$4=$J12,"A",IF(AO$4=$I12,"C",IF(AO$4=$H12,"R",""))))</f>
        <v/>
      </c>
      <c r="AP12" s="18" t="str">
        <f aca="false">IF(AP$4=$B12,"P",IF(AP$4=$J12,"A",IF(AP$4=$I12,"C",IF(AP$4=$H12,"R",""))))</f>
        <v/>
      </c>
      <c r="AQ12" s="18" t="str">
        <f aca="false">IF(AQ$4=$B12,"P",IF(AQ$4=$J12,"A",IF(AQ$4=$I12,"C",IF(AQ$4=$H12,"R",""))))</f>
        <v/>
      </c>
      <c r="AR12" s="18" t="str">
        <f aca="false">IF(AR$4=$B12,"P",IF(AR$4=$J12,"A",IF(AR$4=$I12,"C",IF(AR$4=$H12,"R",""))))</f>
        <v/>
      </c>
      <c r="AS12" s="18" t="str">
        <f aca="false">IF(AS$4=$B12,"P",IF(AS$4=$J12,"A",IF(AS$4=$I12,"C",IF(AS$4=$H12,"R",""))))</f>
        <v/>
      </c>
      <c r="AT12" s="18" t="str">
        <f aca="false">IF(AT$4=$B12,"P",IF(AT$4=$J12,"A",IF(AT$4=$I12,"C",IF(AT$4=$H12,"R",""))))</f>
        <v/>
      </c>
      <c r="AU12" s="18" t="str">
        <f aca="false">IF(AU$4=$B12,"P",IF(AU$4=$J12,"A",IF(AU$4=$I12,"C",IF(AU$4=$H12,"R",""))))</f>
        <v/>
      </c>
    </row>
    <row r="13" customFormat="false" ht="30" hidden="false" customHeight="true" outlineLevel="0" collapsed="false">
      <c r="A13" s="14" t="s">
        <v>64</v>
      </c>
      <c r="B13" s="15" t="n">
        <v>46332</v>
      </c>
      <c r="C13" s="16" t="str">
        <f aca="false">CHOOSE(WEEKDAY(B13,2),"seg","ter","qua","qui","sex","sáb","dom")</f>
        <v>sex</v>
      </c>
      <c r="D13" s="16" t="n">
        <f aca="false">INT((B13-$B$2)/7)+1</f>
        <v>3</v>
      </c>
      <c r="E13" s="14" t="s">
        <v>65</v>
      </c>
      <c r="F13" s="14" t="s">
        <v>45</v>
      </c>
      <c r="G13" s="14" t="s">
        <v>66</v>
      </c>
      <c r="H13" s="15" t="n">
        <f aca="false">WORKDAY(B13,-$F$2,Listas!$A$3:$A$6)</f>
        <v>46324</v>
      </c>
      <c r="I13" s="15" t="n">
        <f aca="false">WORKDAY(B13,-$H$2,Listas!$A$3:$A$6)</f>
        <v>46330</v>
      </c>
      <c r="J13" s="15" t="n">
        <f aca="false">WORKDAY(B13,-$J$2,Listas!$A$3:$A$6)</f>
        <v>46331</v>
      </c>
      <c r="K13" s="14" t="s">
        <v>43</v>
      </c>
      <c r="L13" s="14"/>
      <c r="M13" s="18" t="str">
        <f aca="false">IF(M$4=$B13,"P",IF(M$4=$J13,"A",IF(M$4=$I13,"C",IF(M$4=$H13,"R",""))))</f>
        <v/>
      </c>
      <c r="N13" s="18" t="str">
        <f aca="false">IF(N$4=$B13,"P",IF(N$4=$J13,"A",IF(N$4=$I13,"C",IF(N$4=$H13,"R",""))))</f>
        <v/>
      </c>
      <c r="O13" s="18" t="str">
        <f aca="false">IF(O$4=$B13,"P",IF(O$4=$J13,"A",IF(O$4=$I13,"C",IF(O$4=$H13,"R",""))))</f>
        <v/>
      </c>
      <c r="P13" s="18" t="str">
        <f aca="false">IF(P$4=$B13,"P",IF(P$4=$J13,"A",IF(P$4=$I13,"C",IF(P$4=$H13,"R",""))))</f>
        <v/>
      </c>
      <c r="Q13" s="18" t="str">
        <f aca="false">IF(Q$4=$B13,"P",IF(Q$4=$J13,"A",IF(Q$4=$I13,"C",IF(Q$4=$H13,"R",""))))</f>
        <v/>
      </c>
      <c r="R13" s="18" t="str">
        <f aca="false">IF(R$4=$B13,"P",IF(R$4=$J13,"A",IF(R$4=$I13,"C",IF(R$4=$H13,"R",""))))</f>
        <v/>
      </c>
      <c r="S13" s="18" t="str">
        <f aca="false">IF(S$4=$B13,"P",IF(S$4=$J13,"A",IF(S$4=$I13,"C",IF(S$4=$H13,"R",""))))</f>
        <v/>
      </c>
      <c r="T13" s="18" t="str">
        <f aca="false">IF(T$4=$B13,"P",IF(T$4=$J13,"A",IF(T$4=$I13,"C",IF(T$4=$H13,"R",""))))</f>
        <v/>
      </c>
      <c r="U13" s="18" t="str">
        <f aca="false">IF(U$4=$B13,"P",IF(U$4=$J13,"A",IF(U$4=$I13,"C",IF(U$4=$H13,"R",""))))</f>
        <v/>
      </c>
      <c r="V13" s="18" t="str">
        <f aca="false">IF(V$4=$B13,"P",IF(V$4=$J13,"A",IF(V$4=$I13,"C",IF(V$4=$H13,"R",""))))</f>
        <v/>
      </c>
      <c r="W13" s="18" t="str">
        <f aca="false">IF(W$4=$B13,"P",IF(W$4=$J13,"A",IF(W$4=$I13,"C",IF(W$4=$H13,"R",""))))</f>
        <v/>
      </c>
      <c r="X13" s="18" t="str">
        <f aca="false">IF(X$4=$B13,"P",IF(X$4=$J13,"A",IF(X$4=$I13,"C",IF(X$4=$H13,"R",""))))</f>
        <v/>
      </c>
      <c r="Y13" s="18" t="str">
        <f aca="false">IF(Y$4=$B13,"P",IF(Y$4=$J13,"A",IF(Y$4=$I13,"C",IF(Y$4=$H13,"R",""))))</f>
        <v/>
      </c>
      <c r="Z13" s="18" t="str">
        <f aca="false">IF(Z$4=$B13,"P",IF(Z$4=$J13,"A",IF(Z$4=$I13,"C",IF(Z$4=$H13,"R",""))))</f>
        <v/>
      </c>
      <c r="AA13" s="18" t="str">
        <f aca="false">IF(AA$4=$B13,"P",IF(AA$4=$J13,"A",IF(AA$4=$I13,"C",IF(AA$4=$H13,"R",""))))</f>
        <v/>
      </c>
      <c r="AB13" s="18" t="str">
        <f aca="false">IF(AB$4=$B13,"P",IF(AB$4=$J13,"A",IF(AB$4=$I13,"C",IF(AB$4=$H13,"R",""))))</f>
        <v/>
      </c>
      <c r="AC13" s="18" t="str">
        <f aca="false">IF(AC$4=$B13,"P",IF(AC$4=$J13,"A",IF(AC$4=$I13,"C",IF(AC$4=$H13,"R",""))))</f>
        <v/>
      </c>
      <c r="AD13" s="18" t="str">
        <f aca="false">IF(AD$4=$B13,"P",IF(AD$4=$J13,"A",IF(AD$4=$I13,"C",IF(AD$4=$H13,"R",""))))</f>
        <v>R</v>
      </c>
      <c r="AE13" s="18" t="str">
        <f aca="false">IF(AE$4=$B13,"P",IF(AE$4=$J13,"A",IF(AE$4=$I13,"C",IF(AE$4=$H13,"R",""))))</f>
        <v/>
      </c>
      <c r="AF13" s="18" t="str">
        <f aca="false">IF(AF$4=$B13,"P",IF(AF$4=$J13,"A",IF(AF$4=$I13,"C",IF(AF$4=$H13,"R",""))))</f>
        <v/>
      </c>
      <c r="AG13" s="18" t="str">
        <f aca="false">IF(AG$4=$B13,"P",IF(AG$4=$J13,"A",IF(AG$4=$I13,"C",IF(AG$4=$H13,"R",""))))</f>
        <v/>
      </c>
      <c r="AH13" s="18" t="str">
        <f aca="false">IF(AH$4=$B13,"P",IF(AH$4=$J13,"A",IF(AH$4=$I13,"C",IF(AH$4=$H13,"R",""))))</f>
        <v/>
      </c>
      <c r="AI13" s="18" t="str">
        <f aca="false">IF(AI$4=$B13,"P",IF(AI$4=$J13,"A",IF(AI$4=$I13,"C",IF(AI$4=$H13,"R",""))))</f>
        <v/>
      </c>
      <c r="AJ13" s="18" t="str">
        <f aca="false">IF(AJ$4=$B13,"P",IF(AJ$4=$J13,"A",IF(AJ$4=$I13,"C",IF(AJ$4=$H13,"R",""))))</f>
        <v>C</v>
      </c>
      <c r="AK13" s="18" t="str">
        <f aca="false">IF(AK$4=$B13,"P",IF(AK$4=$J13,"A",IF(AK$4=$I13,"C",IF(AK$4=$H13,"R",""))))</f>
        <v>A</v>
      </c>
      <c r="AL13" s="18" t="str">
        <f aca="false">IF(AL$4=$B13,"P",IF(AL$4=$J13,"A",IF(AL$4=$I13,"C",IF(AL$4=$H13,"R",""))))</f>
        <v>P</v>
      </c>
      <c r="AM13" s="18" t="str">
        <f aca="false">IF(AM$4=$B13,"P",IF(AM$4=$J13,"A",IF(AM$4=$I13,"C",IF(AM$4=$H13,"R",""))))</f>
        <v/>
      </c>
      <c r="AN13" s="18" t="str">
        <f aca="false">IF(AN$4=$B13,"P",IF(AN$4=$J13,"A",IF(AN$4=$I13,"C",IF(AN$4=$H13,"R",""))))</f>
        <v/>
      </c>
      <c r="AO13" s="18" t="str">
        <f aca="false">IF(AO$4=$B13,"P",IF(AO$4=$J13,"A",IF(AO$4=$I13,"C",IF(AO$4=$H13,"R",""))))</f>
        <v/>
      </c>
      <c r="AP13" s="18" t="str">
        <f aca="false">IF(AP$4=$B13,"P",IF(AP$4=$J13,"A",IF(AP$4=$I13,"C",IF(AP$4=$H13,"R",""))))</f>
        <v/>
      </c>
      <c r="AQ13" s="18" t="str">
        <f aca="false">IF(AQ$4=$B13,"P",IF(AQ$4=$J13,"A",IF(AQ$4=$I13,"C",IF(AQ$4=$H13,"R",""))))</f>
        <v/>
      </c>
      <c r="AR13" s="18" t="str">
        <f aca="false">IF(AR$4=$B13,"P",IF(AR$4=$J13,"A",IF(AR$4=$I13,"C",IF(AR$4=$H13,"R",""))))</f>
        <v/>
      </c>
      <c r="AS13" s="18" t="str">
        <f aca="false">IF(AS$4=$B13,"P",IF(AS$4=$J13,"A",IF(AS$4=$I13,"C",IF(AS$4=$H13,"R",""))))</f>
        <v/>
      </c>
      <c r="AT13" s="18" t="str">
        <f aca="false">IF(AT$4=$B13,"P",IF(AT$4=$J13,"A",IF(AT$4=$I13,"C",IF(AT$4=$H13,"R",""))))</f>
        <v/>
      </c>
      <c r="AU13" s="18" t="str">
        <f aca="false">IF(AU$4=$B13,"P",IF(AU$4=$J13,"A",IF(AU$4=$I13,"C",IF(AU$4=$H13,"R",""))))</f>
        <v/>
      </c>
    </row>
    <row r="14" customFormat="false" ht="30" hidden="false" customHeight="true" outlineLevel="0" collapsed="false">
      <c r="A14" s="14" t="s">
        <v>67</v>
      </c>
      <c r="B14" s="15" t="n">
        <v>46335</v>
      </c>
      <c r="C14" s="16" t="str">
        <f aca="false">CHOOSE(WEEKDAY(B14,2),"seg","ter","qua","qui","sex","sáb","dom")</f>
        <v>seg</v>
      </c>
      <c r="D14" s="16" t="n">
        <f aca="false">INT((B14-$B$2)/7)+1</f>
        <v>4</v>
      </c>
      <c r="E14" s="14" t="s">
        <v>65</v>
      </c>
      <c r="F14" s="14" t="s">
        <v>41</v>
      </c>
      <c r="G14" s="14" t="s">
        <v>68</v>
      </c>
      <c r="H14" s="17" t="n">
        <v>46309</v>
      </c>
      <c r="I14" s="17" t="n">
        <v>46310</v>
      </c>
      <c r="J14" s="15" t="n">
        <f aca="false">WORKDAY(B14,-$J$2,Listas!$A$3:$A$6)</f>
        <v>46332</v>
      </c>
      <c r="K14" s="14" t="s">
        <v>43</v>
      </c>
      <c r="L14" s="14"/>
      <c r="M14" s="18" t="str">
        <f aca="false">IF(M$4=$B14,"P",IF(M$4=$J14,"A",IF(M$4=$I14,"C",IF(M$4=$H14,"R",""))))</f>
        <v/>
      </c>
      <c r="N14" s="18" t="str">
        <f aca="false">IF(N$4=$B14,"P",IF(N$4=$J14,"A",IF(N$4=$I14,"C",IF(N$4=$H14,"R",""))))</f>
        <v/>
      </c>
      <c r="O14" s="18" t="str">
        <f aca="false">IF(O$4=$B14,"P",IF(O$4=$J14,"A",IF(O$4=$I14,"C",IF(O$4=$H14,"R",""))))</f>
        <v>R</v>
      </c>
      <c r="P14" s="18" t="str">
        <f aca="false">IF(P$4=$B14,"P",IF(P$4=$J14,"A",IF(P$4=$I14,"C",IF(P$4=$H14,"R",""))))</f>
        <v>C</v>
      </c>
      <c r="Q14" s="18" t="str">
        <f aca="false">IF(Q$4=$B14,"P",IF(Q$4=$J14,"A",IF(Q$4=$I14,"C",IF(Q$4=$H14,"R",""))))</f>
        <v/>
      </c>
      <c r="R14" s="18" t="str">
        <f aca="false">IF(R$4=$B14,"P",IF(R$4=$J14,"A",IF(R$4=$I14,"C",IF(R$4=$H14,"R",""))))</f>
        <v/>
      </c>
      <c r="S14" s="18" t="str">
        <f aca="false">IF(S$4=$B14,"P",IF(S$4=$J14,"A",IF(S$4=$I14,"C",IF(S$4=$H14,"R",""))))</f>
        <v/>
      </c>
      <c r="T14" s="18" t="str">
        <f aca="false">IF(T$4=$B14,"P",IF(T$4=$J14,"A",IF(T$4=$I14,"C",IF(T$4=$H14,"R",""))))</f>
        <v/>
      </c>
      <c r="U14" s="18" t="str">
        <f aca="false">IF(U$4=$B14,"P",IF(U$4=$J14,"A",IF(U$4=$I14,"C",IF(U$4=$H14,"R",""))))</f>
        <v/>
      </c>
      <c r="V14" s="18" t="str">
        <f aca="false">IF(V$4=$B14,"P",IF(V$4=$J14,"A",IF(V$4=$I14,"C",IF(V$4=$H14,"R",""))))</f>
        <v/>
      </c>
      <c r="W14" s="18" t="str">
        <f aca="false">IF(W$4=$B14,"P",IF(W$4=$J14,"A",IF(W$4=$I14,"C",IF(W$4=$H14,"R",""))))</f>
        <v/>
      </c>
      <c r="X14" s="18" t="str">
        <f aca="false">IF(X$4=$B14,"P",IF(X$4=$J14,"A",IF(X$4=$I14,"C",IF(X$4=$H14,"R",""))))</f>
        <v/>
      </c>
      <c r="Y14" s="18" t="str">
        <f aca="false">IF(Y$4=$B14,"P",IF(Y$4=$J14,"A",IF(Y$4=$I14,"C",IF(Y$4=$H14,"R",""))))</f>
        <v/>
      </c>
      <c r="Z14" s="18" t="str">
        <f aca="false">IF(Z$4=$B14,"P",IF(Z$4=$J14,"A",IF(Z$4=$I14,"C",IF(Z$4=$H14,"R",""))))</f>
        <v/>
      </c>
      <c r="AA14" s="18" t="str">
        <f aca="false">IF(AA$4=$B14,"P",IF(AA$4=$J14,"A",IF(AA$4=$I14,"C",IF(AA$4=$H14,"R",""))))</f>
        <v/>
      </c>
      <c r="AB14" s="18" t="str">
        <f aca="false">IF(AB$4=$B14,"P",IF(AB$4=$J14,"A",IF(AB$4=$I14,"C",IF(AB$4=$H14,"R",""))))</f>
        <v/>
      </c>
      <c r="AC14" s="18" t="str">
        <f aca="false">IF(AC$4=$B14,"P",IF(AC$4=$J14,"A",IF(AC$4=$I14,"C",IF(AC$4=$H14,"R",""))))</f>
        <v/>
      </c>
      <c r="AD14" s="18" t="str">
        <f aca="false">IF(AD$4=$B14,"P",IF(AD$4=$J14,"A",IF(AD$4=$I14,"C",IF(AD$4=$H14,"R",""))))</f>
        <v/>
      </c>
      <c r="AE14" s="18" t="str">
        <f aca="false">IF(AE$4=$B14,"P",IF(AE$4=$J14,"A",IF(AE$4=$I14,"C",IF(AE$4=$H14,"R",""))))</f>
        <v/>
      </c>
      <c r="AF14" s="18" t="str">
        <f aca="false">IF(AF$4=$B14,"P",IF(AF$4=$J14,"A",IF(AF$4=$I14,"C",IF(AF$4=$H14,"R",""))))</f>
        <v/>
      </c>
      <c r="AG14" s="18" t="str">
        <f aca="false">IF(AG$4=$B14,"P",IF(AG$4=$J14,"A",IF(AG$4=$I14,"C",IF(AG$4=$H14,"R",""))))</f>
        <v/>
      </c>
      <c r="AH14" s="18" t="str">
        <f aca="false">IF(AH$4=$B14,"P",IF(AH$4=$J14,"A",IF(AH$4=$I14,"C",IF(AH$4=$H14,"R",""))))</f>
        <v/>
      </c>
      <c r="AI14" s="18" t="str">
        <f aca="false">IF(AI$4=$B14,"P",IF(AI$4=$J14,"A",IF(AI$4=$I14,"C",IF(AI$4=$H14,"R",""))))</f>
        <v/>
      </c>
      <c r="AJ14" s="18" t="str">
        <f aca="false">IF(AJ$4=$B14,"P",IF(AJ$4=$J14,"A",IF(AJ$4=$I14,"C",IF(AJ$4=$H14,"R",""))))</f>
        <v/>
      </c>
      <c r="AK14" s="18" t="str">
        <f aca="false">IF(AK$4=$B14,"P",IF(AK$4=$J14,"A",IF(AK$4=$I14,"C",IF(AK$4=$H14,"R",""))))</f>
        <v/>
      </c>
      <c r="AL14" s="18" t="str">
        <f aca="false">IF(AL$4=$B14,"P",IF(AL$4=$J14,"A",IF(AL$4=$I14,"C",IF(AL$4=$H14,"R",""))))</f>
        <v>A</v>
      </c>
      <c r="AM14" s="18" t="str">
        <f aca="false">IF(AM$4=$B14,"P",IF(AM$4=$J14,"A",IF(AM$4=$I14,"C",IF(AM$4=$H14,"R",""))))</f>
        <v/>
      </c>
      <c r="AN14" s="18" t="str">
        <f aca="false">IF(AN$4=$B14,"P",IF(AN$4=$J14,"A",IF(AN$4=$I14,"C",IF(AN$4=$H14,"R",""))))</f>
        <v/>
      </c>
      <c r="AO14" s="18" t="str">
        <f aca="false">IF(AO$4=$B14,"P",IF(AO$4=$J14,"A",IF(AO$4=$I14,"C",IF(AO$4=$H14,"R",""))))</f>
        <v>P</v>
      </c>
      <c r="AP14" s="18" t="str">
        <f aca="false">IF(AP$4=$B14,"P",IF(AP$4=$J14,"A",IF(AP$4=$I14,"C",IF(AP$4=$H14,"R",""))))</f>
        <v/>
      </c>
      <c r="AQ14" s="18" t="str">
        <f aca="false">IF(AQ$4=$B14,"P",IF(AQ$4=$J14,"A",IF(AQ$4=$I14,"C",IF(AQ$4=$H14,"R",""))))</f>
        <v/>
      </c>
      <c r="AR14" s="18" t="str">
        <f aca="false">IF(AR$4=$B14,"P",IF(AR$4=$J14,"A",IF(AR$4=$I14,"C",IF(AR$4=$H14,"R",""))))</f>
        <v/>
      </c>
      <c r="AS14" s="18" t="str">
        <f aca="false">IF(AS$4=$B14,"P",IF(AS$4=$J14,"A",IF(AS$4=$I14,"C",IF(AS$4=$H14,"R",""))))</f>
        <v/>
      </c>
      <c r="AT14" s="18" t="str">
        <f aca="false">IF(AT$4=$B14,"P",IF(AT$4=$J14,"A",IF(AT$4=$I14,"C",IF(AT$4=$H14,"R",""))))</f>
        <v/>
      </c>
      <c r="AU14" s="18" t="str">
        <f aca="false">IF(AU$4=$B14,"P",IF(AU$4=$J14,"A",IF(AU$4=$I14,"C",IF(AU$4=$H14,"R",""))))</f>
        <v/>
      </c>
    </row>
    <row r="15" customFormat="false" ht="30" hidden="false" customHeight="true" outlineLevel="0" collapsed="false">
      <c r="A15" s="14" t="s">
        <v>69</v>
      </c>
      <c r="B15" s="15" t="n">
        <v>46337</v>
      </c>
      <c r="C15" s="16" t="str">
        <f aca="false">CHOOSE(WEEKDAY(B15,2),"seg","ter","qua","qui","sex","sáb","dom")</f>
        <v>qua</v>
      </c>
      <c r="D15" s="16" t="n">
        <f aca="false">INT((B15-$B$2)/7)+1</f>
        <v>4</v>
      </c>
      <c r="E15" s="14" t="s">
        <v>65</v>
      </c>
      <c r="F15" s="14" t="s">
        <v>45</v>
      </c>
      <c r="G15" s="14" t="s">
        <v>70</v>
      </c>
      <c r="H15" s="15" t="n">
        <f aca="false">WORKDAY(B15,-$F$2,Listas!$A$3:$A$6)</f>
        <v>46330</v>
      </c>
      <c r="I15" s="15" t="n">
        <f aca="false">WORKDAY(B15,-$H$2,Listas!$A$3:$A$6)</f>
        <v>46335</v>
      </c>
      <c r="J15" s="15" t="n">
        <f aca="false">WORKDAY(B15,-$J$2,Listas!$A$3:$A$6)</f>
        <v>46336</v>
      </c>
      <c r="K15" s="14" t="s">
        <v>71</v>
      </c>
      <c r="L15" s="14"/>
      <c r="M15" s="18" t="str">
        <f aca="false">IF(M$4=$B15,"P",IF(M$4=$J15,"A",IF(M$4=$I15,"C",IF(M$4=$H15,"R",""))))</f>
        <v/>
      </c>
      <c r="N15" s="18" t="str">
        <f aca="false">IF(N$4=$B15,"P",IF(N$4=$J15,"A",IF(N$4=$I15,"C",IF(N$4=$H15,"R",""))))</f>
        <v/>
      </c>
      <c r="O15" s="18" t="str">
        <f aca="false">IF(O$4=$B15,"P",IF(O$4=$J15,"A",IF(O$4=$I15,"C",IF(O$4=$H15,"R",""))))</f>
        <v/>
      </c>
      <c r="P15" s="18" t="str">
        <f aca="false">IF(P$4=$B15,"P",IF(P$4=$J15,"A",IF(P$4=$I15,"C",IF(P$4=$H15,"R",""))))</f>
        <v/>
      </c>
      <c r="Q15" s="18" t="str">
        <f aca="false">IF(Q$4=$B15,"P",IF(Q$4=$J15,"A",IF(Q$4=$I15,"C",IF(Q$4=$H15,"R",""))))</f>
        <v/>
      </c>
      <c r="R15" s="18" t="str">
        <f aca="false">IF(R$4=$B15,"P",IF(R$4=$J15,"A",IF(R$4=$I15,"C",IF(R$4=$H15,"R",""))))</f>
        <v/>
      </c>
      <c r="S15" s="18" t="str">
        <f aca="false">IF(S$4=$B15,"P",IF(S$4=$J15,"A",IF(S$4=$I15,"C",IF(S$4=$H15,"R",""))))</f>
        <v/>
      </c>
      <c r="T15" s="18" t="str">
        <f aca="false">IF(T$4=$B15,"P",IF(T$4=$J15,"A",IF(T$4=$I15,"C",IF(T$4=$H15,"R",""))))</f>
        <v/>
      </c>
      <c r="U15" s="18" t="str">
        <f aca="false">IF(U$4=$B15,"P",IF(U$4=$J15,"A",IF(U$4=$I15,"C",IF(U$4=$H15,"R",""))))</f>
        <v/>
      </c>
      <c r="V15" s="18" t="str">
        <f aca="false">IF(V$4=$B15,"P",IF(V$4=$J15,"A",IF(V$4=$I15,"C",IF(V$4=$H15,"R",""))))</f>
        <v/>
      </c>
      <c r="W15" s="18" t="str">
        <f aca="false">IF(W$4=$B15,"P",IF(W$4=$J15,"A",IF(W$4=$I15,"C",IF(W$4=$H15,"R",""))))</f>
        <v/>
      </c>
      <c r="X15" s="18" t="str">
        <f aca="false">IF(X$4=$B15,"P",IF(X$4=$J15,"A",IF(X$4=$I15,"C",IF(X$4=$H15,"R",""))))</f>
        <v/>
      </c>
      <c r="Y15" s="18" t="str">
        <f aca="false">IF(Y$4=$B15,"P",IF(Y$4=$J15,"A",IF(Y$4=$I15,"C",IF(Y$4=$H15,"R",""))))</f>
        <v/>
      </c>
      <c r="Z15" s="18" t="str">
        <f aca="false">IF(Z$4=$B15,"P",IF(Z$4=$J15,"A",IF(Z$4=$I15,"C",IF(Z$4=$H15,"R",""))))</f>
        <v/>
      </c>
      <c r="AA15" s="18" t="str">
        <f aca="false">IF(AA$4=$B15,"P",IF(AA$4=$J15,"A",IF(AA$4=$I15,"C",IF(AA$4=$H15,"R",""))))</f>
        <v/>
      </c>
      <c r="AB15" s="18" t="str">
        <f aca="false">IF(AB$4=$B15,"P",IF(AB$4=$J15,"A",IF(AB$4=$I15,"C",IF(AB$4=$H15,"R",""))))</f>
        <v/>
      </c>
      <c r="AC15" s="18" t="str">
        <f aca="false">IF(AC$4=$B15,"P",IF(AC$4=$J15,"A",IF(AC$4=$I15,"C",IF(AC$4=$H15,"R",""))))</f>
        <v/>
      </c>
      <c r="AD15" s="18" t="str">
        <f aca="false">IF(AD$4=$B15,"P",IF(AD$4=$J15,"A",IF(AD$4=$I15,"C",IF(AD$4=$H15,"R",""))))</f>
        <v/>
      </c>
      <c r="AE15" s="18" t="str">
        <f aca="false">IF(AE$4=$B15,"P",IF(AE$4=$J15,"A",IF(AE$4=$I15,"C",IF(AE$4=$H15,"R",""))))</f>
        <v/>
      </c>
      <c r="AF15" s="18" t="str">
        <f aca="false">IF(AF$4=$B15,"P",IF(AF$4=$J15,"A",IF(AF$4=$I15,"C",IF(AF$4=$H15,"R",""))))</f>
        <v/>
      </c>
      <c r="AG15" s="18" t="str">
        <f aca="false">IF(AG$4=$B15,"P",IF(AG$4=$J15,"A",IF(AG$4=$I15,"C",IF(AG$4=$H15,"R",""))))</f>
        <v/>
      </c>
      <c r="AH15" s="18" t="str">
        <f aca="false">IF(AH$4=$B15,"P",IF(AH$4=$J15,"A",IF(AH$4=$I15,"C",IF(AH$4=$H15,"R",""))))</f>
        <v/>
      </c>
      <c r="AI15" s="18" t="str">
        <f aca="false">IF(AI$4=$B15,"P",IF(AI$4=$J15,"A",IF(AI$4=$I15,"C",IF(AI$4=$H15,"R",""))))</f>
        <v/>
      </c>
      <c r="AJ15" s="18" t="str">
        <f aca="false">IF(AJ$4=$B15,"P",IF(AJ$4=$J15,"A",IF(AJ$4=$I15,"C",IF(AJ$4=$H15,"R",""))))</f>
        <v>R</v>
      </c>
      <c r="AK15" s="18" t="str">
        <f aca="false">IF(AK$4=$B15,"P",IF(AK$4=$J15,"A",IF(AK$4=$I15,"C",IF(AK$4=$H15,"R",""))))</f>
        <v/>
      </c>
      <c r="AL15" s="18" t="str">
        <f aca="false">IF(AL$4=$B15,"P",IF(AL$4=$J15,"A",IF(AL$4=$I15,"C",IF(AL$4=$H15,"R",""))))</f>
        <v/>
      </c>
      <c r="AM15" s="18" t="str">
        <f aca="false">IF(AM$4=$B15,"P",IF(AM$4=$J15,"A",IF(AM$4=$I15,"C",IF(AM$4=$H15,"R",""))))</f>
        <v/>
      </c>
      <c r="AN15" s="18" t="str">
        <f aca="false">IF(AN$4=$B15,"P",IF(AN$4=$J15,"A",IF(AN$4=$I15,"C",IF(AN$4=$H15,"R",""))))</f>
        <v/>
      </c>
      <c r="AO15" s="18" t="str">
        <f aca="false">IF(AO$4=$B15,"P",IF(AO$4=$J15,"A",IF(AO$4=$I15,"C",IF(AO$4=$H15,"R",""))))</f>
        <v>C</v>
      </c>
      <c r="AP15" s="18" t="str">
        <f aca="false">IF(AP$4=$B15,"P",IF(AP$4=$J15,"A",IF(AP$4=$I15,"C",IF(AP$4=$H15,"R",""))))</f>
        <v>A</v>
      </c>
      <c r="AQ15" s="18" t="str">
        <f aca="false">IF(AQ$4=$B15,"P",IF(AQ$4=$J15,"A",IF(AQ$4=$I15,"C",IF(AQ$4=$H15,"R",""))))</f>
        <v>P</v>
      </c>
      <c r="AR15" s="18" t="str">
        <f aca="false">IF(AR$4=$B15,"P",IF(AR$4=$J15,"A",IF(AR$4=$I15,"C",IF(AR$4=$H15,"R",""))))</f>
        <v/>
      </c>
      <c r="AS15" s="18" t="str">
        <f aca="false">IF(AS$4=$B15,"P",IF(AS$4=$J15,"A",IF(AS$4=$I15,"C",IF(AS$4=$H15,"R",""))))</f>
        <v/>
      </c>
      <c r="AT15" s="18" t="str">
        <f aca="false">IF(AT$4=$B15,"P",IF(AT$4=$J15,"A",IF(AT$4=$I15,"C",IF(AT$4=$H15,"R",""))))</f>
        <v/>
      </c>
      <c r="AU15" s="18" t="str">
        <f aca="false">IF(AU$4=$B15,"P",IF(AU$4=$J15,"A",IF(AU$4=$I15,"C",IF(AU$4=$H15,"R",""))))</f>
        <v/>
      </c>
    </row>
    <row r="16" customFormat="false" ht="30" hidden="false" customHeight="true" outlineLevel="0" collapsed="false">
      <c r="A16" s="14" t="s">
        <v>72</v>
      </c>
      <c r="B16" s="15" t="n">
        <v>46339</v>
      </c>
      <c r="C16" s="16" t="str">
        <f aca="false">CHOOSE(WEEKDAY(B16,2),"seg","ter","qua","qui","sex","sáb","dom")</f>
        <v>sex</v>
      </c>
      <c r="D16" s="16" t="n">
        <f aca="false">INT((B16-$B$2)/7)+1</f>
        <v>4</v>
      </c>
      <c r="E16" s="14" t="s">
        <v>65</v>
      </c>
      <c r="F16" s="14" t="s">
        <v>45</v>
      </c>
      <c r="G16" s="14" t="s">
        <v>73</v>
      </c>
      <c r="H16" s="15" t="n">
        <f aca="false">WORKDAY(B16,-$F$2,Listas!$A$3:$A$6)</f>
        <v>46332</v>
      </c>
      <c r="I16" s="15" t="n">
        <f aca="false">WORKDAY(B16,-$H$2,Listas!$A$3:$A$6)</f>
        <v>46337</v>
      </c>
      <c r="J16" s="15" t="n">
        <f aca="false">WORKDAY(B16,-$J$2,Listas!$A$3:$A$6)</f>
        <v>46338</v>
      </c>
      <c r="K16" s="14" t="s">
        <v>43</v>
      </c>
      <c r="L16" s="14"/>
      <c r="M16" s="18" t="str">
        <f aca="false">IF(M$4=$B16,"P",IF(M$4=$J16,"A",IF(M$4=$I16,"C",IF(M$4=$H16,"R",""))))</f>
        <v/>
      </c>
      <c r="N16" s="18" t="str">
        <f aca="false">IF(N$4=$B16,"P",IF(N$4=$J16,"A",IF(N$4=$I16,"C",IF(N$4=$H16,"R",""))))</f>
        <v/>
      </c>
      <c r="O16" s="18" t="str">
        <f aca="false">IF(O$4=$B16,"P",IF(O$4=$J16,"A",IF(O$4=$I16,"C",IF(O$4=$H16,"R",""))))</f>
        <v/>
      </c>
      <c r="P16" s="18" t="str">
        <f aca="false">IF(P$4=$B16,"P",IF(P$4=$J16,"A",IF(P$4=$I16,"C",IF(P$4=$H16,"R",""))))</f>
        <v/>
      </c>
      <c r="Q16" s="18" t="str">
        <f aca="false">IF(Q$4=$B16,"P",IF(Q$4=$J16,"A",IF(Q$4=$I16,"C",IF(Q$4=$H16,"R",""))))</f>
        <v/>
      </c>
      <c r="R16" s="18" t="str">
        <f aca="false">IF(R$4=$B16,"P",IF(R$4=$J16,"A",IF(R$4=$I16,"C",IF(R$4=$H16,"R",""))))</f>
        <v/>
      </c>
      <c r="S16" s="18" t="str">
        <f aca="false">IF(S$4=$B16,"P",IF(S$4=$J16,"A",IF(S$4=$I16,"C",IF(S$4=$H16,"R",""))))</f>
        <v/>
      </c>
      <c r="T16" s="18" t="str">
        <f aca="false">IF(T$4=$B16,"P",IF(T$4=$J16,"A",IF(T$4=$I16,"C",IF(T$4=$H16,"R",""))))</f>
        <v/>
      </c>
      <c r="U16" s="18" t="str">
        <f aca="false">IF(U$4=$B16,"P",IF(U$4=$J16,"A",IF(U$4=$I16,"C",IF(U$4=$H16,"R",""))))</f>
        <v/>
      </c>
      <c r="V16" s="18" t="str">
        <f aca="false">IF(V$4=$B16,"P",IF(V$4=$J16,"A",IF(V$4=$I16,"C",IF(V$4=$H16,"R",""))))</f>
        <v/>
      </c>
      <c r="W16" s="18" t="str">
        <f aca="false">IF(W$4=$B16,"P",IF(W$4=$J16,"A",IF(W$4=$I16,"C",IF(W$4=$H16,"R",""))))</f>
        <v/>
      </c>
      <c r="X16" s="18" t="str">
        <f aca="false">IF(X$4=$B16,"P",IF(X$4=$J16,"A",IF(X$4=$I16,"C",IF(X$4=$H16,"R",""))))</f>
        <v/>
      </c>
      <c r="Y16" s="18" t="str">
        <f aca="false">IF(Y$4=$B16,"P",IF(Y$4=$J16,"A",IF(Y$4=$I16,"C",IF(Y$4=$H16,"R",""))))</f>
        <v/>
      </c>
      <c r="Z16" s="18" t="str">
        <f aca="false">IF(Z$4=$B16,"P",IF(Z$4=$J16,"A",IF(Z$4=$I16,"C",IF(Z$4=$H16,"R",""))))</f>
        <v/>
      </c>
      <c r="AA16" s="18" t="str">
        <f aca="false">IF(AA$4=$B16,"P",IF(AA$4=$J16,"A",IF(AA$4=$I16,"C",IF(AA$4=$H16,"R",""))))</f>
        <v/>
      </c>
      <c r="AB16" s="18" t="str">
        <f aca="false">IF(AB$4=$B16,"P",IF(AB$4=$J16,"A",IF(AB$4=$I16,"C",IF(AB$4=$H16,"R",""))))</f>
        <v/>
      </c>
      <c r="AC16" s="18" t="str">
        <f aca="false">IF(AC$4=$B16,"P",IF(AC$4=$J16,"A",IF(AC$4=$I16,"C",IF(AC$4=$H16,"R",""))))</f>
        <v/>
      </c>
      <c r="AD16" s="18" t="str">
        <f aca="false">IF(AD$4=$B16,"P",IF(AD$4=$J16,"A",IF(AD$4=$I16,"C",IF(AD$4=$H16,"R",""))))</f>
        <v/>
      </c>
      <c r="AE16" s="18" t="str">
        <f aca="false">IF(AE$4=$B16,"P",IF(AE$4=$J16,"A",IF(AE$4=$I16,"C",IF(AE$4=$H16,"R",""))))</f>
        <v/>
      </c>
      <c r="AF16" s="18" t="str">
        <f aca="false">IF(AF$4=$B16,"P",IF(AF$4=$J16,"A",IF(AF$4=$I16,"C",IF(AF$4=$H16,"R",""))))</f>
        <v/>
      </c>
      <c r="AG16" s="18" t="str">
        <f aca="false">IF(AG$4=$B16,"P",IF(AG$4=$J16,"A",IF(AG$4=$I16,"C",IF(AG$4=$H16,"R",""))))</f>
        <v/>
      </c>
      <c r="AH16" s="18" t="str">
        <f aca="false">IF(AH$4=$B16,"P",IF(AH$4=$J16,"A",IF(AH$4=$I16,"C",IF(AH$4=$H16,"R",""))))</f>
        <v/>
      </c>
      <c r="AI16" s="18" t="str">
        <f aca="false">IF(AI$4=$B16,"P",IF(AI$4=$J16,"A",IF(AI$4=$I16,"C",IF(AI$4=$H16,"R",""))))</f>
        <v/>
      </c>
      <c r="AJ16" s="18" t="str">
        <f aca="false">IF(AJ$4=$B16,"P",IF(AJ$4=$J16,"A",IF(AJ$4=$I16,"C",IF(AJ$4=$H16,"R",""))))</f>
        <v/>
      </c>
      <c r="AK16" s="18" t="str">
        <f aca="false">IF(AK$4=$B16,"P",IF(AK$4=$J16,"A",IF(AK$4=$I16,"C",IF(AK$4=$H16,"R",""))))</f>
        <v/>
      </c>
      <c r="AL16" s="18" t="str">
        <f aca="false">IF(AL$4=$B16,"P",IF(AL$4=$J16,"A",IF(AL$4=$I16,"C",IF(AL$4=$H16,"R",""))))</f>
        <v>R</v>
      </c>
      <c r="AM16" s="18" t="str">
        <f aca="false">IF(AM$4=$B16,"P",IF(AM$4=$J16,"A",IF(AM$4=$I16,"C",IF(AM$4=$H16,"R",""))))</f>
        <v/>
      </c>
      <c r="AN16" s="18" t="str">
        <f aca="false">IF(AN$4=$B16,"P",IF(AN$4=$J16,"A",IF(AN$4=$I16,"C",IF(AN$4=$H16,"R",""))))</f>
        <v/>
      </c>
      <c r="AO16" s="18" t="str">
        <f aca="false">IF(AO$4=$B16,"P",IF(AO$4=$J16,"A",IF(AO$4=$I16,"C",IF(AO$4=$H16,"R",""))))</f>
        <v/>
      </c>
      <c r="AP16" s="18" t="str">
        <f aca="false">IF(AP$4=$B16,"P",IF(AP$4=$J16,"A",IF(AP$4=$I16,"C",IF(AP$4=$H16,"R",""))))</f>
        <v/>
      </c>
      <c r="AQ16" s="18" t="str">
        <f aca="false">IF(AQ$4=$B16,"P",IF(AQ$4=$J16,"A",IF(AQ$4=$I16,"C",IF(AQ$4=$H16,"R",""))))</f>
        <v>C</v>
      </c>
      <c r="AR16" s="18" t="str">
        <f aca="false">IF(AR$4=$B16,"P",IF(AR$4=$J16,"A",IF(AR$4=$I16,"C",IF(AR$4=$H16,"R",""))))</f>
        <v>A</v>
      </c>
      <c r="AS16" s="18" t="str">
        <f aca="false">IF(AS$4=$B16,"P",IF(AS$4=$J16,"A",IF(AS$4=$I16,"C",IF(AS$4=$H16,"R",""))))</f>
        <v>P</v>
      </c>
      <c r="AT16" s="18" t="str">
        <f aca="false">IF(AT$4=$B16,"P",IF(AT$4=$J16,"A",IF(AT$4=$I16,"C",IF(AT$4=$H16,"R",""))))</f>
        <v/>
      </c>
      <c r="AU16" s="18" t="str">
        <f aca="false">IF(AU$4=$B16,"P",IF(AU$4=$J16,"A",IF(AU$4=$I16,"C",IF(AU$4=$H16,"R",""))))</f>
        <v/>
      </c>
    </row>
    <row r="18" customFormat="false" ht="15" hidden="false" customHeight="false" outlineLevel="0" collapsed="false">
      <c r="A18" s="19" t="s">
        <v>74</v>
      </c>
    </row>
    <row r="19" customFormat="false" ht="15" hidden="false" customHeight="false" outlineLevel="0" collapsed="false">
      <c r="A19" s="20" t="s">
        <v>75</v>
      </c>
      <c r="B19" s="19" t="n">
        <f aca="false">COUNTIF(F5:F16,"Reel")</f>
        <v>4</v>
      </c>
    </row>
    <row r="20" customFormat="false" ht="15" hidden="false" customHeight="false" outlineLevel="0" collapsed="false">
      <c r="A20" s="20" t="s">
        <v>76</v>
      </c>
      <c r="B20" s="19" t="n">
        <f aca="false">COUNTIF(F5:F16,"Carrossel")</f>
        <v>7</v>
      </c>
    </row>
    <row r="21" customFormat="false" ht="15" hidden="false" customHeight="false" outlineLevel="0" collapsed="false">
      <c r="A21" s="20" t="s">
        <v>77</v>
      </c>
      <c r="B21" s="19" t="n">
        <f aca="false">COUNTIF(F5:F16,"Foto única")</f>
        <v>1</v>
      </c>
    </row>
    <row r="22" customFormat="false" ht="15" hidden="false" customHeight="false" outlineLevel="0" collapsed="false">
      <c r="A22" s="20" t="s">
        <v>78</v>
      </c>
      <c r="B22" s="19" t="n">
        <f aca="false">COUNTA(A5:A16)</f>
        <v>12</v>
      </c>
    </row>
    <row r="23" customFormat="false" ht="15" hidden="false" customHeight="false" outlineLevel="0" collapsed="false">
      <c r="A23" s="20" t="s">
        <v>79</v>
      </c>
      <c r="B23" s="19" t="n">
        <f aca="false">COUNTIF(K5:K16,"Publicado")</f>
        <v>0</v>
      </c>
    </row>
  </sheetData>
  <mergeCells count="2">
    <mergeCell ref="D2:E2"/>
    <mergeCell ref="A3:L3"/>
  </mergeCells>
  <conditionalFormatting sqref="M5:AU16">
    <cfRule type="cellIs" priority="2" operator="equal" aboveAverage="0" equalAverage="0" bottom="0" percent="0" rank="0" text="" dxfId="0">
      <formula>"P"</formula>
    </cfRule>
    <cfRule type="cellIs" priority="3" operator="equal" aboveAverage="0" equalAverage="0" bottom="0" percent="0" rank="0" text="" dxfId="1">
      <formula>"A"</formula>
    </cfRule>
    <cfRule type="cellIs" priority="4" operator="equal" aboveAverage="0" equalAverage="0" bottom="0" percent="0" rank="0" text="" dxfId="2">
      <formula>"C"</formula>
    </cfRule>
    <cfRule type="cellIs" priority="5" operator="equal" aboveAverage="0" equalAverage="0" bottom="0" percent="0" rank="0" text="" dxfId="3">
      <formula>"R"</formula>
    </cfRule>
  </conditionalFormatting>
  <conditionalFormatting sqref="M3:AU16">
    <cfRule type="expression" priority="6" aboveAverage="0" equalAverage="0" bottom="0" percent="0" rank="0" text="" dxfId="4">
      <formula>WEEKDAY(M$4,2)&gt;5</formula>
    </cfRule>
  </conditionalFormatting>
  <dataValidations count="3">
    <dataValidation allowBlank="true" errorStyle="stop" operator="between" showDropDown="false" showErrorMessage="false" showInputMessage="false" sqref="E5:E16" type="list">
      <formula1>Listas!$I$3:$I$6</formula1>
      <formula2>0</formula2>
    </dataValidation>
    <dataValidation allowBlank="true" errorStyle="stop" operator="between" showDropDown="false" showErrorMessage="false" showInputMessage="false" sqref="F5:F16" type="list">
      <formula1>Listas!$G$3:$G$5</formula1>
      <formula2>0</formula2>
    </dataValidation>
    <dataValidation allowBlank="true" errorStyle="stop" operator="between" showDropDown="false" showErrorMessage="false" showInputMessage="false" sqref="K5:K16" type="list">
      <formula1>Listas!$H$3:$H$12</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8" min="2" style="0" width="22"/>
  </cols>
  <sheetData>
    <row r="1" customFormat="false" ht="17.35" hidden="false" customHeight="false" outlineLevel="0" collapsed="false">
      <c r="A1" s="4" t="s">
        <v>80</v>
      </c>
    </row>
    <row r="2" customFormat="false" ht="15" hidden="false" customHeight="false" outlineLevel="0" collapsed="false">
      <c r="A2" s="21" t="s">
        <v>81</v>
      </c>
    </row>
    <row r="3" customFormat="false" ht="15" hidden="false" customHeight="false" outlineLevel="0" collapsed="false">
      <c r="F3" s="22" t="s">
        <v>41</v>
      </c>
      <c r="G3" s="23" t="s">
        <v>45</v>
      </c>
      <c r="H3" s="24" t="s">
        <v>54</v>
      </c>
    </row>
    <row r="4" customFormat="false" ht="15" hidden="false" customHeight="false" outlineLevel="0" collapsed="false">
      <c r="A4" s="25" t="s">
        <v>30</v>
      </c>
      <c r="B4" s="25" t="s">
        <v>82</v>
      </c>
      <c r="C4" s="25" t="s">
        <v>83</v>
      </c>
      <c r="D4" s="25" t="s">
        <v>84</v>
      </c>
      <c r="E4" s="25" t="s">
        <v>85</v>
      </c>
      <c r="F4" s="25" t="s">
        <v>86</v>
      </c>
      <c r="G4" s="25" t="s">
        <v>87</v>
      </c>
      <c r="H4" s="25" t="s">
        <v>88</v>
      </c>
    </row>
    <row r="5" customFormat="false" ht="13.5" hidden="false" customHeight="true" outlineLevel="0" collapsed="false">
      <c r="A5" s="19" t="s">
        <v>89</v>
      </c>
      <c r="B5" s="26" t="n">
        <f aca="false">Cronograma!$B$2+0</f>
        <v>46314</v>
      </c>
      <c r="C5" s="26" t="n">
        <f aca="false">Cronograma!$B$2+1</f>
        <v>46315</v>
      </c>
      <c r="D5" s="26" t="n">
        <f aca="false">Cronograma!$B$2+2</f>
        <v>46316</v>
      </c>
      <c r="E5" s="26" t="n">
        <f aca="false">Cronograma!$B$2+3</f>
        <v>46317</v>
      </c>
      <c r="F5" s="26" t="n">
        <f aca="false">Cronograma!$B$2+4</f>
        <v>46318</v>
      </c>
      <c r="G5" s="26" t="n">
        <f aca="false">Cronograma!$B$2+5</f>
        <v>46319</v>
      </c>
      <c r="H5" s="26" t="n">
        <f aca="false">Cronograma!$B$2+6</f>
        <v>46320</v>
      </c>
    </row>
    <row r="6" customFormat="false" ht="45.75" hidden="false" customHeight="true" outlineLevel="0" collapsed="false">
      <c r="A6" s="21" t="str">
        <f aca="false">TEXT(B5,"dd/mm")&amp;" a "&amp;TEXT(H5,"dd/mm")</f>
        <v>19/10 a 25/10</v>
      </c>
      <c r="B6" s="27" t="str">
        <f aca="false">IFERROR(INDEX(Cronograma!$G$5:$G$16,MATCH(B5,Cronograma!$B$5:$B$16,0)),IFERROR(INDEX(Listas!$E$3:$E$5,MATCH(B5,Listas!$D$3:$D$5,0)),""))</f>
        <v>Quem somos, na voz do Dr. Ronald</v>
      </c>
      <c r="C6" s="27" t="str">
        <f aca="false">IFERROR(INDEX(Cronograma!$G$5:$G$16,MATCH(C5,Cronograma!$B$5:$B$16,0)),IFERROR(INDEX(Listas!$E$3:$E$5,MATCH(C5,Listas!$D$3:$D$5,0)),""))</f>
        <v/>
      </c>
      <c r="D6" s="27" t="str">
        <f aca="false">IFERROR(INDEX(Cronograma!$G$5:$G$16,MATCH(D5,Cronograma!$B$5:$B$16,0)),IFERROR(INDEX(Listas!$E$3:$E$5,MATCH(D5,Listas!$D$3:$D$5,0)),""))</f>
        <v>Por que a FairHealth existe?</v>
      </c>
      <c r="E6" s="27" t="str">
        <f aca="false">IFERROR(INDEX(Cronograma!$G$5:$G$16,MATCH(E5,Cronograma!$B$5:$B$16,0)),IFERROR(INDEX(Listas!$E$3:$E$5,MATCH(E5,Listas!$D$3:$D$5,0)),""))</f>
        <v/>
      </c>
      <c r="F6" s="27" t="str">
        <f aca="false">IFERROR(INDEX(Cronograma!$G$5:$G$16,MATCH(F5,Cronograma!$B$5:$B$16,0)),IFERROR(INDEX(Listas!$E$3:$E$5,MATCH(F5,Listas!$D$3:$D$5,0)),""))</f>
        <v>Cuidar da saúde não deveria começar quando algo vai mal</v>
      </c>
      <c r="G6" s="27" t="str">
        <f aca="false">IFERROR(INDEX(Cronograma!$G$5:$G$16,MATCH(G5,Cronograma!$B$5:$B$16,0)),IFERROR(INDEX(Listas!$E$3:$E$5,MATCH(G5,Listas!$D$3:$D$5,0)),""))</f>
        <v/>
      </c>
      <c r="H6" s="27" t="str">
        <f aca="false">IFERROR(INDEX(Cronograma!$G$5:$G$16,MATCH(H5,Cronograma!$B$5:$B$16,0)),IFERROR(INDEX(Listas!$E$3:$E$5,MATCH(H5,Listas!$D$3:$D$5,0)),""))</f>
        <v/>
      </c>
    </row>
    <row r="7" customFormat="false" ht="13.5" hidden="false" customHeight="true" outlineLevel="0" collapsed="false">
      <c r="B7" s="28" t="str">
        <f aca="false">IFERROR(INDEX(Cronograma!$F$5:$F$16,MATCH(B5,Cronograma!$B$5:$B$16,0))&amp;" · "&amp;INDEX(Cronograma!$A$5:$A$16,MATCH(B5,Cronograma!$B$5:$B$16,0)),"")</f>
        <v>Reel · P01</v>
      </c>
      <c r="C7" s="28" t="str">
        <f aca="false">IFERROR(INDEX(Cronograma!$F$5:$F$16,MATCH(C5,Cronograma!$B$5:$B$16,0))&amp;" · "&amp;INDEX(Cronograma!$A$5:$A$16,MATCH(C5,Cronograma!$B$5:$B$16,0)),"")</f>
        <v/>
      </c>
      <c r="D7" s="28" t="str">
        <f aca="false">IFERROR(INDEX(Cronograma!$F$5:$F$16,MATCH(D5,Cronograma!$B$5:$B$16,0))&amp;" · "&amp;INDEX(Cronograma!$A$5:$A$16,MATCH(D5,Cronograma!$B$5:$B$16,0)),"")</f>
        <v>Carrossel · P02</v>
      </c>
      <c r="E7" s="28" t="str">
        <f aca="false">IFERROR(INDEX(Cronograma!$F$5:$F$16,MATCH(E5,Cronograma!$B$5:$B$16,0))&amp;" · "&amp;INDEX(Cronograma!$A$5:$A$16,MATCH(E5,Cronograma!$B$5:$B$16,0)),"")</f>
        <v/>
      </c>
      <c r="F7" s="28" t="str">
        <f aca="false">IFERROR(INDEX(Cronograma!$F$5:$F$16,MATCH(F5,Cronograma!$B$5:$B$16,0))&amp;" · "&amp;INDEX(Cronograma!$A$5:$A$16,MATCH(F5,Cronograma!$B$5:$B$16,0)),"")</f>
        <v>Carrossel · P03</v>
      </c>
      <c r="G7" s="28" t="str">
        <f aca="false">IFERROR(INDEX(Cronograma!$F$5:$F$16,MATCH(G5,Cronograma!$B$5:$B$16,0))&amp;" · "&amp;INDEX(Cronograma!$A$5:$A$16,MATCH(G5,Cronograma!$B$5:$B$16,0)),"")</f>
        <v/>
      </c>
      <c r="H7" s="28" t="str">
        <f aca="false">IFERROR(INDEX(Cronograma!$F$5:$F$16,MATCH(H5,Cronograma!$B$5:$B$16,0))&amp;" · "&amp;INDEX(Cronograma!$A$5:$A$16,MATCH(H5,Cronograma!$B$5:$B$16,0)),"")</f>
        <v/>
      </c>
    </row>
    <row r="8" customFormat="false" ht="7.5" hidden="false" customHeight="true" outlineLevel="0" collapsed="false"/>
    <row r="9" customFormat="false" ht="13.5" hidden="false" customHeight="true" outlineLevel="0" collapsed="false">
      <c r="A9" s="19" t="s">
        <v>90</v>
      </c>
      <c r="B9" s="26" t="n">
        <f aca="false">Cronograma!$B$2+7</f>
        <v>46321</v>
      </c>
      <c r="C9" s="26" t="n">
        <f aca="false">Cronograma!$B$2+8</f>
        <v>46322</v>
      </c>
      <c r="D9" s="26" t="n">
        <f aca="false">Cronograma!$B$2+9</f>
        <v>46323</v>
      </c>
      <c r="E9" s="26" t="n">
        <f aca="false">Cronograma!$B$2+10</f>
        <v>46324</v>
      </c>
      <c r="F9" s="26" t="n">
        <f aca="false">Cronograma!$B$2+11</f>
        <v>46325</v>
      </c>
      <c r="G9" s="26" t="n">
        <f aca="false">Cronograma!$B$2+12</f>
        <v>46326</v>
      </c>
      <c r="H9" s="26" t="n">
        <f aca="false">Cronograma!$B$2+13</f>
        <v>46327</v>
      </c>
    </row>
    <row r="10" customFormat="false" ht="45.75" hidden="false" customHeight="true" outlineLevel="0" collapsed="false">
      <c r="A10" s="21" t="str">
        <f aca="false">TEXT(B9,"dd/mm")&amp;" a "&amp;TEXT(H9,"dd/mm")</f>
        <v>26/10 a 01/11</v>
      </c>
      <c r="B10" s="27" t="str">
        <f aca="false">IFERROR(INDEX(Cronograma!$G$5:$G$16,MATCH(B9,Cronograma!$B$5:$B$16,0)),IFERROR(INDEX(Listas!$E$3:$E$5,MATCH(B9,Listas!$D$3:$D$5,0)),""))</f>
        <v>O que acontece quando o cuidado não faz parte da rotina?</v>
      </c>
      <c r="C10" s="27" t="str">
        <f aca="false">IFERROR(INDEX(Cronograma!$G$5:$G$16,MATCH(C9,Cronograma!$B$5:$B$16,0)),IFERROR(INDEX(Listas!$E$3:$E$5,MATCH(C9,Listas!$D$3:$D$5,0)),""))</f>
        <v/>
      </c>
      <c r="D10" s="27" t="str">
        <f aca="false">IFERROR(INDEX(Cronograma!$G$5:$G$16,MATCH(D9,Cronograma!$B$5:$B$16,0)),IFERROR(INDEX(Listas!$E$3:$E$5,MATCH(D9,Listas!$D$3:$D$5,0)),""))</f>
        <v>Prevenção também é investimento</v>
      </c>
      <c r="E10" s="27" t="str">
        <f aca="false">IFERROR(INDEX(Cronograma!$G$5:$G$16,MATCH(E9,Cronograma!$B$5:$B$16,0)),IFERROR(INDEX(Listas!$E$3:$E$5,MATCH(E9,Listas!$D$3:$D$5,0)),""))</f>
        <v/>
      </c>
      <c r="F10" s="27" t="str">
        <f aca="false">IFERROR(INDEX(Cronograma!$G$5:$G$16,MATCH(F9,Cronograma!$B$5:$B$16,0)),IFERROR(INDEX(Listas!$E$3:$E$5,MATCH(F9,Listas!$D$3:$D$5,0)),""))</f>
        <v>Como transformar a prevenção em parte da rotina de uma empresa?</v>
      </c>
      <c r="G10" s="27" t="str">
        <f aca="false">IFERROR(INDEX(Cronograma!$G$5:$G$16,MATCH(G9,Cronograma!$B$5:$B$16,0)),IFERROR(INDEX(Listas!$E$3:$E$5,MATCH(G9,Listas!$D$3:$D$5,0)),""))</f>
        <v/>
      </c>
      <c r="H10" s="27" t="str">
        <f aca="false">IFERROR(INDEX(Cronograma!$G$5:$G$16,MATCH(H9,Cronograma!$B$5:$B$16,0)),IFERROR(INDEX(Listas!$E$3:$E$5,MATCH(H9,Listas!$D$3:$D$5,0)),""))</f>
        <v/>
      </c>
    </row>
    <row r="11" customFormat="false" ht="13.5" hidden="false" customHeight="true" outlineLevel="0" collapsed="false">
      <c r="B11" s="28" t="str">
        <f aca="false">IFERROR(INDEX(Cronograma!$F$5:$F$16,MATCH(B9,Cronograma!$B$5:$B$16,0))&amp;" · "&amp;INDEX(Cronograma!$A$5:$A$16,MATCH(B9,Cronograma!$B$5:$B$16,0)),"")</f>
        <v>Reel · P04</v>
      </c>
      <c r="C11" s="28" t="str">
        <f aca="false">IFERROR(INDEX(Cronograma!$F$5:$F$16,MATCH(C9,Cronograma!$B$5:$B$16,0))&amp;" · "&amp;INDEX(Cronograma!$A$5:$A$16,MATCH(C9,Cronograma!$B$5:$B$16,0)),"")</f>
        <v/>
      </c>
      <c r="D11" s="28" t="str">
        <f aca="false">IFERROR(INDEX(Cronograma!$F$5:$F$16,MATCH(D9,Cronograma!$B$5:$B$16,0))&amp;" · "&amp;INDEX(Cronograma!$A$5:$A$16,MATCH(D9,Cronograma!$B$5:$B$16,0)),"")</f>
        <v>Foto única · P05</v>
      </c>
      <c r="E11" s="28" t="str">
        <f aca="false">IFERROR(INDEX(Cronograma!$F$5:$F$16,MATCH(E9,Cronograma!$B$5:$B$16,0))&amp;" · "&amp;INDEX(Cronograma!$A$5:$A$16,MATCH(E9,Cronograma!$B$5:$B$16,0)),"")</f>
        <v/>
      </c>
      <c r="F11" s="28" t="str">
        <f aca="false">IFERROR(INDEX(Cronograma!$F$5:$F$16,MATCH(F9,Cronograma!$B$5:$B$16,0))&amp;" · "&amp;INDEX(Cronograma!$A$5:$A$16,MATCH(F9,Cronograma!$B$5:$B$16,0)),"")</f>
        <v>Carrossel · P06</v>
      </c>
      <c r="G11" s="28" t="str">
        <f aca="false">IFERROR(INDEX(Cronograma!$F$5:$F$16,MATCH(G9,Cronograma!$B$5:$B$16,0))&amp;" · "&amp;INDEX(Cronograma!$A$5:$A$16,MATCH(G9,Cronograma!$B$5:$B$16,0)),"")</f>
        <v/>
      </c>
      <c r="H11" s="28" t="str">
        <f aca="false">IFERROR(INDEX(Cronograma!$F$5:$F$16,MATCH(H9,Cronograma!$B$5:$B$16,0))&amp;" · "&amp;INDEX(Cronograma!$A$5:$A$16,MATCH(H9,Cronograma!$B$5:$B$16,0)),"")</f>
        <v/>
      </c>
    </row>
    <row r="12" customFormat="false" ht="7.5" hidden="false" customHeight="true" outlineLevel="0" collapsed="false"/>
    <row r="13" customFormat="false" ht="13.5" hidden="false" customHeight="true" outlineLevel="0" collapsed="false">
      <c r="A13" s="19" t="s">
        <v>91</v>
      </c>
      <c r="B13" s="26" t="n">
        <f aca="false">Cronograma!$B$2+14</f>
        <v>46328</v>
      </c>
      <c r="C13" s="26" t="n">
        <f aca="false">Cronograma!$B$2+15</f>
        <v>46329</v>
      </c>
      <c r="D13" s="26" t="n">
        <f aca="false">Cronograma!$B$2+16</f>
        <v>46330</v>
      </c>
      <c r="E13" s="26" t="n">
        <f aca="false">Cronograma!$B$2+17</f>
        <v>46331</v>
      </c>
      <c r="F13" s="26" t="n">
        <f aca="false">Cronograma!$B$2+18</f>
        <v>46332</v>
      </c>
      <c r="G13" s="26" t="n">
        <f aca="false">Cronograma!$B$2+19</f>
        <v>46333</v>
      </c>
      <c r="H13" s="26" t="n">
        <f aca="false">Cronograma!$B$2+20</f>
        <v>46334</v>
      </c>
    </row>
    <row r="14" customFormat="false" ht="45.75" hidden="false" customHeight="true" outlineLevel="0" collapsed="false">
      <c r="A14" s="21" t="str">
        <f aca="false">TEXT(B13,"dd/mm")&amp;" a "&amp;TEXT(H13,"dd/mm")</f>
        <v>02/11 a 08/11</v>
      </c>
      <c r="B14" s="27" t="str">
        <f aca="false">IFERROR(INDEX(Cronograma!$G$5:$G$16,MATCH(B13,Cronograma!$B$5:$B$16,0)),IFERROR(INDEX(Listas!$E$3:$E$5,MATCH(B13,Listas!$D$3:$D$5,0)),""))</f>
        <v>Finados (feriado)</v>
      </c>
      <c r="C14" s="27" t="str">
        <f aca="false">IFERROR(INDEX(Cronograma!$G$5:$G$16,MATCH(C13,Cronograma!$B$5:$B$16,0)),IFERROR(INDEX(Listas!$E$3:$E$5,MATCH(C13,Listas!$D$3:$D$5,0)),""))</f>
        <v>Como funciona o cuidado na prática?</v>
      </c>
      <c r="D14" s="27" t="str">
        <f aca="false">IFERROR(INDEX(Cronograma!$G$5:$G$16,MATCH(D13,Cronograma!$B$5:$B$16,0)),IFERROR(INDEX(Listas!$E$3:$E$5,MATCH(D13,Listas!$D$3:$D$5,0)),""))</f>
        <v>Quatro frentes, um cuidado conectado</v>
      </c>
      <c r="E14" s="27" t="str">
        <f aca="false">IFERROR(INDEX(Cronograma!$G$5:$G$16,MATCH(E13,Cronograma!$B$5:$B$16,0)),IFERROR(INDEX(Listas!$E$3:$E$5,MATCH(E13,Listas!$D$3:$D$5,0)),""))</f>
        <v/>
      </c>
      <c r="F14" s="27" t="str">
        <f aca="false">IFERROR(INDEX(Cronograma!$G$5:$G$16,MATCH(F13,Cronograma!$B$5:$B$16,0)),IFERROR(INDEX(Listas!$E$3:$E$5,MATCH(F13,Listas!$D$3:$D$5,0)),""))</f>
        <v>Uma história de cuidado que começou em 2009</v>
      </c>
      <c r="G14" s="27" t="str">
        <f aca="false">IFERROR(INDEX(Cronograma!$G$5:$G$16,MATCH(G13,Cronograma!$B$5:$B$16,0)),IFERROR(INDEX(Listas!$E$3:$E$5,MATCH(G13,Listas!$D$3:$D$5,0)),""))</f>
        <v/>
      </c>
      <c r="H14" s="27" t="str">
        <f aca="false">IFERROR(INDEX(Cronograma!$G$5:$G$16,MATCH(H13,Cronograma!$B$5:$B$16,0)),IFERROR(INDEX(Listas!$E$3:$E$5,MATCH(H13,Listas!$D$3:$D$5,0)),""))</f>
        <v/>
      </c>
    </row>
    <row r="15" customFormat="false" ht="13.5" hidden="false" customHeight="true" outlineLevel="0" collapsed="false">
      <c r="B15" s="28" t="str">
        <f aca="false">IFERROR(INDEX(Cronograma!$F$5:$F$16,MATCH(B13,Cronograma!$B$5:$B$16,0))&amp;" · "&amp;INDEX(Cronograma!$A$5:$A$16,MATCH(B13,Cronograma!$B$5:$B$16,0)),"")</f>
        <v/>
      </c>
      <c r="C15" s="28" t="str">
        <f aca="false">IFERROR(INDEX(Cronograma!$F$5:$F$16,MATCH(C13,Cronograma!$B$5:$B$16,0))&amp;" · "&amp;INDEX(Cronograma!$A$5:$A$16,MATCH(C13,Cronograma!$B$5:$B$16,0)),"")</f>
        <v>Carrossel · P07</v>
      </c>
      <c r="D15" s="28" t="str">
        <f aca="false">IFERROR(INDEX(Cronograma!$F$5:$F$16,MATCH(D13,Cronograma!$B$5:$B$16,0))&amp;" · "&amp;INDEX(Cronograma!$A$5:$A$16,MATCH(D13,Cronograma!$B$5:$B$16,0)),"")</f>
        <v>Reel · P08</v>
      </c>
      <c r="E15" s="28" t="str">
        <f aca="false">IFERROR(INDEX(Cronograma!$F$5:$F$16,MATCH(E13,Cronograma!$B$5:$B$16,0))&amp;" · "&amp;INDEX(Cronograma!$A$5:$A$16,MATCH(E13,Cronograma!$B$5:$B$16,0)),"")</f>
        <v/>
      </c>
      <c r="F15" s="28" t="str">
        <f aca="false">IFERROR(INDEX(Cronograma!$F$5:$F$16,MATCH(F13,Cronograma!$B$5:$B$16,0))&amp;" · "&amp;INDEX(Cronograma!$A$5:$A$16,MATCH(F13,Cronograma!$B$5:$B$16,0)),"")</f>
        <v>Carrossel · P09</v>
      </c>
      <c r="G15" s="28" t="str">
        <f aca="false">IFERROR(INDEX(Cronograma!$F$5:$F$16,MATCH(G13,Cronograma!$B$5:$B$16,0))&amp;" · "&amp;INDEX(Cronograma!$A$5:$A$16,MATCH(G13,Cronograma!$B$5:$B$16,0)),"")</f>
        <v/>
      </c>
      <c r="H15" s="28" t="str">
        <f aca="false">IFERROR(INDEX(Cronograma!$F$5:$F$16,MATCH(H13,Cronograma!$B$5:$B$16,0))&amp;" · "&amp;INDEX(Cronograma!$A$5:$A$16,MATCH(H13,Cronograma!$B$5:$B$16,0)),"")</f>
        <v/>
      </c>
    </row>
    <row r="16" customFormat="false" ht="7.5" hidden="false" customHeight="true" outlineLevel="0" collapsed="false"/>
    <row r="17" customFormat="false" ht="13.5" hidden="false" customHeight="true" outlineLevel="0" collapsed="false">
      <c r="A17" s="19" t="s">
        <v>92</v>
      </c>
      <c r="B17" s="26" t="n">
        <f aca="false">Cronograma!$B$2+21</f>
        <v>46335</v>
      </c>
      <c r="C17" s="26" t="n">
        <f aca="false">Cronograma!$B$2+22</f>
        <v>46336</v>
      </c>
      <c r="D17" s="26" t="n">
        <f aca="false">Cronograma!$B$2+23</f>
        <v>46337</v>
      </c>
      <c r="E17" s="26" t="n">
        <f aca="false">Cronograma!$B$2+24</f>
        <v>46338</v>
      </c>
      <c r="F17" s="26" t="n">
        <f aca="false">Cronograma!$B$2+25</f>
        <v>46339</v>
      </c>
      <c r="G17" s="26" t="n">
        <f aca="false">Cronograma!$B$2+26</f>
        <v>46340</v>
      </c>
      <c r="H17" s="26" t="n">
        <f aca="false">Cronograma!$B$2+27</f>
        <v>46341</v>
      </c>
    </row>
    <row r="18" customFormat="false" ht="45.75" hidden="false" customHeight="true" outlineLevel="0" collapsed="false">
      <c r="A18" s="21" t="str">
        <f aca="false">TEXT(B17,"dd/mm")&amp;" a "&amp;TEXT(H17,"dd/mm")</f>
        <v>09/11 a 15/11</v>
      </c>
      <c r="B18" s="27" t="str">
        <f aca="false">IFERROR(INDEX(Cronograma!$G$5:$G$16,MATCH(B17,Cronograma!$B$5:$B$16,0)),IFERROR(INDEX(Listas!$E$3:$E$5,MATCH(B17,Listas!$D$3:$D$5,0)),""))</f>
        <v>Cuidado na prática: experiências e resultados reais</v>
      </c>
      <c r="C18" s="27" t="str">
        <f aca="false">IFERROR(INDEX(Cronograma!$G$5:$G$16,MATCH(C17,Cronograma!$B$5:$B$16,0)),IFERROR(INDEX(Listas!$E$3:$E$5,MATCH(C17,Listas!$D$3:$D$5,0)),""))</f>
        <v/>
      </c>
      <c r="D18" s="27" t="str">
        <f aca="false">IFERROR(INDEX(Cronograma!$G$5:$G$16,MATCH(D17,Cronograma!$B$5:$B$16,0)),IFERROR(INDEX(Listas!$E$3:$E$5,MATCH(D17,Listas!$D$3:$D$5,0)),""))</f>
        <v>Estilo de vida também é tratamento sério</v>
      </c>
      <c r="E18" s="27" t="str">
        <f aca="false">IFERROR(INDEX(Cronograma!$G$5:$G$16,MATCH(E17,Cronograma!$B$5:$B$16,0)),IFERROR(INDEX(Listas!$E$3:$E$5,MATCH(E17,Listas!$D$3:$D$5,0)),""))</f>
        <v/>
      </c>
      <c r="F18" s="27" t="str">
        <f aca="false">IFERROR(INDEX(Cronograma!$G$5:$G$16,MATCH(F17,Cronograma!$B$5:$B$16,0)),IFERROR(INDEX(Listas!$E$3:$E$5,MATCH(F17,Listas!$D$3:$D$5,0)),""))</f>
        <v>Como levar a FairHealth para sua empresa?</v>
      </c>
      <c r="G18" s="27" t="str">
        <f aca="false">IFERROR(INDEX(Cronograma!$G$5:$G$16,MATCH(G17,Cronograma!$B$5:$B$16,0)),IFERROR(INDEX(Listas!$E$3:$E$5,MATCH(G17,Listas!$D$3:$D$5,0)),""))</f>
        <v>Dia Mundial do Diabetes</v>
      </c>
      <c r="H18" s="27" t="str">
        <f aca="false">IFERROR(INDEX(Cronograma!$G$5:$G$16,MATCH(H17,Cronograma!$B$5:$B$16,0)),IFERROR(INDEX(Listas!$E$3:$E$5,MATCH(H17,Listas!$D$3:$D$5,0)),""))</f>
        <v>Proclamação da República (feriado)</v>
      </c>
    </row>
    <row r="19" customFormat="false" ht="13.5" hidden="false" customHeight="true" outlineLevel="0" collapsed="false">
      <c r="B19" s="28" t="str">
        <f aca="false">IFERROR(INDEX(Cronograma!$F$5:$F$16,MATCH(B17,Cronograma!$B$5:$B$16,0))&amp;" · "&amp;INDEX(Cronograma!$A$5:$A$16,MATCH(B17,Cronograma!$B$5:$B$16,0)),"")</f>
        <v>Reel · P10</v>
      </c>
      <c r="C19" s="28" t="str">
        <f aca="false">IFERROR(INDEX(Cronograma!$F$5:$F$16,MATCH(C17,Cronograma!$B$5:$B$16,0))&amp;" · "&amp;INDEX(Cronograma!$A$5:$A$16,MATCH(C17,Cronograma!$B$5:$B$16,0)),"")</f>
        <v/>
      </c>
      <c r="D19" s="28" t="str">
        <f aca="false">IFERROR(INDEX(Cronograma!$F$5:$F$16,MATCH(D17,Cronograma!$B$5:$B$16,0))&amp;" · "&amp;INDEX(Cronograma!$A$5:$A$16,MATCH(D17,Cronograma!$B$5:$B$16,0)),"")</f>
        <v>Carrossel · P11</v>
      </c>
      <c r="E19" s="28" t="str">
        <f aca="false">IFERROR(INDEX(Cronograma!$F$5:$F$16,MATCH(E17,Cronograma!$B$5:$B$16,0))&amp;" · "&amp;INDEX(Cronograma!$A$5:$A$16,MATCH(E17,Cronograma!$B$5:$B$16,0)),"")</f>
        <v/>
      </c>
      <c r="F19" s="28" t="str">
        <f aca="false">IFERROR(INDEX(Cronograma!$F$5:$F$16,MATCH(F17,Cronograma!$B$5:$B$16,0))&amp;" · "&amp;INDEX(Cronograma!$A$5:$A$16,MATCH(F17,Cronograma!$B$5:$B$16,0)),"")</f>
        <v>Carrossel · P12</v>
      </c>
      <c r="G19" s="28" t="str">
        <f aca="false">IFERROR(INDEX(Cronograma!$F$5:$F$16,MATCH(G17,Cronograma!$B$5:$B$16,0))&amp;" · "&amp;INDEX(Cronograma!$A$5:$A$16,MATCH(G17,Cronograma!$B$5:$B$16,0)),"")</f>
        <v/>
      </c>
      <c r="H19" s="28" t="str">
        <f aca="false">IFERROR(INDEX(Cronograma!$F$5:$F$16,MATCH(H17,Cronograma!$B$5:$B$16,0))&amp;" · "&amp;INDEX(Cronograma!$A$5:$A$16,MATCH(H17,Cronograma!$B$5:$B$16,0)),"")</f>
        <v/>
      </c>
    </row>
    <row r="20" customFormat="false" ht="7.5" hidden="false" customHeight="true" outlineLevel="0" collapsed="false"/>
    <row r="22" customFormat="false" ht="15" hidden="false" customHeight="false" outlineLevel="0" collapsed="false">
      <c r="B22" s="20" t="s">
        <v>75</v>
      </c>
      <c r="C22" s="29" t="n">
        <f aca="false">COUNTIF(Cronograma!$F$5:$F$16,"Reel")</f>
        <v>4</v>
      </c>
      <c r="D22" s="20" t="s">
        <v>76</v>
      </c>
      <c r="E22" s="29" t="n">
        <f aca="false">COUNTIF(Cronograma!$F$5:$F$16,"Carrossel")</f>
        <v>7</v>
      </c>
      <c r="F22" s="20" t="s">
        <v>77</v>
      </c>
      <c r="G22" s="29" t="n">
        <f aca="false">COUNTIF(Cronograma!$F$5:$F$16,"Foto única")</f>
        <v>1</v>
      </c>
    </row>
    <row r="23" customFormat="false" ht="15" hidden="false" customHeight="false" outlineLevel="0" collapsed="false">
      <c r="B23" s="21" t="s">
        <v>93</v>
      </c>
    </row>
  </sheetData>
  <conditionalFormatting sqref="B6:H7">
    <cfRule type="expression" priority="2" aboveAverage="0" equalAverage="0" bottom="0" percent="0" rank="0" text="" dxfId="5">
      <formula>LEFT(B$7,4)="Reel"</formula>
    </cfRule>
    <cfRule type="expression" priority="3" aboveAverage="0" equalAverage="0" bottom="0" percent="0" rank="0" text="" dxfId="6">
      <formula>LEFT(B$7,4)="Carr"</formula>
    </cfRule>
  </conditionalFormatting>
  <conditionalFormatting sqref="B6:H6">
    <cfRule type="expression" priority="4" aboveAverage="0" equalAverage="0" bottom="0" percent="0" rank="0" text="" dxfId="7">
      <formula>LEFT(B$7,4)="Foto"</formula>
    </cfRule>
    <cfRule type="expression" priority="5" aboveAverage="0" equalAverage="0" bottom="0" percent="0" rank="0" text="" dxfId="8">
      <formula>AND(B$7="",B6&lt;&gt;"")</formula>
    </cfRule>
  </conditionalFormatting>
  <conditionalFormatting sqref="B7:H7">
    <cfRule type="expression" priority="6" aboveAverage="0" equalAverage="0" bottom="0" percent="0" rank="0" text="" dxfId="9">
      <formula>LEFT(B$7,4)="Foto"</formula>
    </cfRule>
  </conditionalFormatting>
  <conditionalFormatting sqref="B10:H11">
    <cfRule type="expression" priority="7" aboveAverage="0" equalAverage="0" bottom="0" percent="0" rank="0" text="" dxfId="5">
      <formula>LEFT(B$11,4)="Reel"</formula>
    </cfRule>
    <cfRule type="expression" priority="8" aboveAverage="0" equalAverage="0" bottom="0" percent="0" rank="0" text="" dxfId="6">
      <formula>LEFT(B$11,4)="Carr"</formula>
    </cfRule>
  </conditionalFormatting>
  <conditionalFormatting sqref="B10:H10">
    <cfRule type="expression" priority="9" aboveAverage="0" equalAverage="0" bottom="0" percent="0" rank="0" text="" dxfId="7">
      <formula>LEFT(B$11,4)="Foto"</formula>
    </cfRule>
    <cfRule type="expression" priority="10" aboveAverage="0" equalAverage="0" bottom="0" percent="0" rank="0" text="" dxfId="8">
      <formula>AND(B$11="",B10&lt;&gt;"")</formula>
    </cfRule>
  </conditionalFormatting>
  <conditionalFormatting sqref="B11:H11">
    <cfRule type="expression" priority="11" aboveAverage="0" equalAverage="0" bottom="0" percent="0" rank="0" text="" dxfId="9">
      <formula>LEFT(B$11,4)="Foto"</formula>
    </cfRule>
  </conditionalFormatting>
  <conditionalFormatting sqref="B14:H15">
    <cfRule type="expression" priority="12" aboveAverage="0" equalAverage="0" bottom="0" percent="0" rank="0" text="" dxfId="5">
      <formula>LEFT(B$15,4)="Reel"</formula>
    </cfRule>
    <cfRule type="expression" priority="13" aboveAverage="0" equalAverage="0" bottom="0" percent="0" rank="0" text="" dxfId="6">
      <formula>LEFT(B$15,4)="Carr"</formula>
    </cfRule>
  </conditionalFormatting>
  <conditionalFormatting sqref="B14:H14">
    <cfRule type="expression" priority="14" aboveAverage="0" equalAverage="0" bottom="0" percent="0" rank="0" text="" dxfId="7">
      <formula>LEFT(B$15,4)="Foto"</formula>
    </cfRule>
    <cfRule type="expression" priority="15" aboveAverage="0" equalAverage="0" bottom="0" percent="0" rank="0" text="" dxfId="8">
      <formula>AND(B$15="",B14&lt;&gt;"")</formula>
    </cfRule>
  </conditionalFormatting>
  <conditionalFormatting sqref="B15:H15">
    <cfRule type="expression" priority="16" aboveAverage="0" equalAverage="0" bottom="0" percent="0" rank="0" text="" dxfId="9">
      <formula>LEFT(B$15,4)="Foto"</formula>
    </cfRule>
  </conditionalFormatting>
  <conditionalFormatting sqref="B18:H19">
    <cfRule type="expression" priority="17" aboveAverage="0" equalAverage="0" bottom="0" percent="0" rank="0" text="" dxfId="5">
      <formula>LEFT(B$19,4)="Reel"</formula>
    </cfRule>
    <cfRule type="expression" priority="18" aboveAverage="0" equalAverage="0" bottom="0" percent="0" rank="0" text="" dxfId="6">
      <formula>LEFT(B$19,4)="Carr"</formula>
    </cfRule>
  </conditionalFormatting>
  <conditionalFormatting sqref="B18:H18">
    <cfRule type="expression" priority="19" aboveAverage="0" equalAverage="0" bottom="0" percent="0" rank="0" text="" dxfId="7">
      <formula>LEFT(B$19,4)="Foto"</formula>
    </cfRule>
    <cfRule type="expression" priority="20" aboveAverage="0" equalAverage="0" bottom="0" percent="0" rank="0" text="" dxfId="8">
      <formula>AND(B$19="",B18&lt;&gt;"")</formula>
    </cfRule>
  </conditionalFormatting>
  <conditionalFormatting sqref="B19:H19">
    <cfRule type="expression" priority="21" aboveAverage="0" equalAverage="0" bottom="0" percent="0" rank="0" text="" dxfId="9">
      <formula>LEFT(B$19,4)="Foto"</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6"/>
    <col collapsed="false" customWidth="true" hidden="false" outlineLevel="0" max="4" min="4" style="0" width="8"/>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32"/>
    <col collapsed="false" customWidth="true" hidden="false" outlineLevel="0" max="9" min="9" style="0" width="14"/>
    <col collapsed="false" customWidth="true" hidden="false" outlineLevel="0" max="10" min="10" style="0" width="22"/>
    <col collapsed="false" customWidth="true" hidden="false" outlineLevel="0" max="11" min="11" style="0" width="28"/>
    <col collapsed="false" customWidth="true" hidden="false" outlineLevel="0" max="13" min="12" style="0" width="30"/>
    <col collapsed="false" customWidth="true" hidden="false" outlineLevel="0" max="14" min="14" style="0" width="16"/>
    <col collapsed="false" customWidth="true" hidden="false" outlineLevel="0" max="15" min="15" style="0" width="34"/>
    <col collapsed="false" customWidth="true" hidden="false" outlineLevel="0" max="16" min="16" style="0" width="40"/>
    <col collapsed="false" customWidth="true" hidden="false" outlineLevel="0" max="17" min="17" style="0" width="32"/>
    <col collapsed="false" customWidth="true" hidden="false" outlineLevel="0" max="18" min="18" style="0" width="80"/>
    <col collapsed="false" customWidth="true" hidden="false" outlineLevel="0" max="19" min="19" style="0" width="28"/>
    <col collapsed="false" customWidth="true" hidden="false" outlineLevel="0" max="20" min="20" style="0" width="34"/>
    <col collapsed="false" customWidth="true" hidden="false" outlineLevel="0" max="21" min="21" style="0" width="36"/>
    <col collapsed="false" customWidth="true" hidden="false" outlineLevel="0" max="22" min="22" style="0" width="16"/>
    <col collapsed="false" customWidth="true" hidden="false" outlineLevel="0" max="23" min="23" style="0" width="20"/>
    <col collapsed="false" customWidth="true" hidden="false" outlineLevel="0" max="24" min="24" style="0" width="28"/>
  </cols>
  <sheetData>
    <row r="1" customFormat="false" ht="17.35" hidden="false" customHeight="false" outlineLevel="0" collapsed="false">
      <c r="A1" s="4" t="s">
        <v>94</v>
      </c>
    </row>
    <row r="2" customFormat="false" ht="15" hidden="false" customHeight="false" outlineLevel="0" collapsed="false">
      <c r="A2" s="21" t="s">
        <v>95</v>
      </c>
    </row>
    <row r="4" customFormat="false" ht="30" hidden="false" customHeight="true" outlineLevel="0" collapsed="false">
      <c r="A4" s="12" t="s">
        <v>27</v>
      </c>
      <c r="B4" s="12" t="s">
        <v>28</v>
      </c>
      <c r="C4" s="12" t="s">
        <v>29</v>
      </c>
      <c r="D4" s="12" t="s">
        <v>30</v>
      </c>
      <c r="E4" s="12" t="s">
        <v>31</v>
      </c>
      <c r="F4" s="12" t="s">
        <v>32</v>
      </c>
      <c r="G4" s="12" t="s">
        <v>96</v>
      </c>
      <c r="H4" s="12" t="s">
        <v>97</v>
      </c>
      <c r="I4" s="12" t="s">
        <v>98</v>
      </c>
      <c r="J4" s="12" t="s">
        <v>99</v>
      </c>
      <c r="K4" s="12" t="s">
        <v>100</v>
      </c>
      <c r="L4" s="12" t="s">
        <v>101</v>
      </c>
      <c r="M4" s="12" t="s">
        <v>102</v>
      </c>
      <c r="N4" s="12" t="s">
        <v>103</v>
      </c>
      <c r="O4" s="12" t="s">
        <v>104</v>
      </c>
      <c r="P4" s="12" t="s">
        <v>105</v>
      </c>
      <c r="Q4" s="12" t="s">
        <v>106</v>
      </c>
      <c r="R4" s="12" t="s">
        <v>107</v>
      </c>
      <c r="S4" s="12" t="s">
        <v>108</v>
      </c>
      <c r="T4" s="12" t="s">
        <v>109</v>
      </c>
      <c r="U4" s="12" t="s">
        <v>110</v>
      </c>
      <c r="V4" s="12" t="s">
        <v>37</v>
      </c>
      <c r="W4" s="12" t="s">
        <v>111</v>
      </c>
      <c r="X4" s="12" t="s">
        <v>112</v>
      </c>
    </row>
    <row r="5" customFormat="false" ht="135.75" hidden="false" customHeight="true" outlineLevel="0" collapsed="false">
      <c r="A5" s="30" t="s">
        <v>39</v>
      </c>
      <c r="B5" s="31" t="n">
        <f aca="false">Cronograma!B5</f>
        <v>46314</v>
      </c>
      <c r="C5" s="32" t="str">
        <f aca="false">Cronograma!C5</f>
        <v>seg</v>
      </c>
      <c r="D5" s="32" t="n">
        <f aca="false">Cronograma!D5</f>
        <v>1</v>
      </c>
      <c r="E5" s="30" t="str">
        <f aca="false">Cronograma!E5</f>
        <v>1 · Reconhecimento</v>
      </c>
      <c r="F5" s="30" t="str">
        <f aca="false">Cronograma!F5</f>
        <v>Reel</v>
      </c>
      <c r="G5" s="30" t="str">
        <f aca="false">Cronograma!G5</f>
        <v>Quem somos, na voz do Dr. Ronald</v>
      </c>
      <c r="H5" s="30" t="s">
        <v>113</v>
      </c>
      <c r="I5" s="30" t="s">
        <v>114</v>
      </c>
      <c r="J5" s="30" t="s">
        <v>115</v>
      </c>
      <c r="K5" s="30" t="s">
        <v>116</v>
      </c>
      <c r="L5" s="30" t="s">
        <v>117</v>
      </c>
      <c r="M5" s="30" t="s">
        <v>118</v>
      </c>
      <c r="N5" s="30" t="s">
        <v>119</v>
      </c>
      <c r="O5" s="30" t="s">
        <v>120</v>
      </c>
      <c r="P5" s="30" t="s">
        <v>121</v>
      </c>
      <c r="Q5" s="30" t="s">
        <v>122</v>
      </c>
      <c r="R5" s="30" t="s">
        <v>123</v>
      </c>
      <c r="S5" s="30" t="s">
        <v>124</v>
      </c>
      <c r="T5" s="30" t="s">
        <v>125</v>
      </c>
      <c r="U5" s="30" t="s">
        <v>126</v>
      </c>
      <c r="V5" s="30" t="str">
        <f aca="false">Cronograma!K5</f>
        <v>Roteiro em revisão</v>
      </c>
      <c r="W5" s="33"/>
      <c r="X5" s="33"/>
    </row>
    <row r="6" customFormat="false" ht="226.5" hidden="false" customHeight="true" outlineLevel="0" collapsed="false">
      <c r="A6" s="30" t="s">
        <v>44</v>
      </c>
      <c r="B6" s="31" t="n">
        <f aca="false">Cronograma!B6</f>
        <v>46316</v>
      </c>
      <c r="C6" s="32" t="str">
        <f aca="false">Cronograma!C6</f>
        <v>qua</v>
      </c>
      <c r="D6" s="32" t="n">
        <f aca="false">Cronograma!D6</f>
        <v>1</v>
      </c>
      <c r="E6" s="30" t="str">
        <f aca="false">Cronograma!E6</f>
        <v>1 · Reconhecimento</v>
      </c>
      <c r="F6" s="30" t="str">
        <f aca="false">Cronograma!F6</f>
        <v>Carrossel</v>
      </c>
      <c r="G6" s="30" t="str">
        <f aca="false">Cronograma!G6</f>
        <v>Por que a FairHealth existe?</v>
      </c>
      <c r="H6" s="30" t="s">
        <v>127</v>
      </c>
      <c r="I6" s="30" t="s">
        <v>128</v>
      </c>
      <c r="J6" s="30" t="s">
        <v>129</v>
      </c>
      <c r="K6" s="30" t="s">
        <v>130</v>
      </c>
      <c r="L6" s="30" t="s">
        <v>131</v>
      </c>
      <c r="M6" s="30" t="s">
        <v>132</v>
      </c>
      <c r="N6" s="30" t="s">
        <v>133</v>
      </c>
      <c r="O6" s="30" t="s">
        <v>134</v>
      </c>
      <c r="P6" s="30" t="s">
        <v>135</v>
      </c>
      <c r="Q6" s="30" t="s">
        <v>136</v>
      </c>
      <c r="R6" s="30" t="s">
        <v>137</v>
      </c>
      <c r="S6" s="30" t="s">
        <v>138</v>
      </c>
      <c r="T6" s="30" t="s">
        <v>139</v>
      </c>
      <c r="U6" s="30" t="s">
        <v>140</v>
      </c>
      <c r="V6" s="30" t="str">
        <f aca="false">Cronograma!K6</f>
        <v>Arte pronta</v>
      </c>
      <c r="W6" s="33"/>
      <c r="X6" s="33"/>
    </row>
    <row r="7" customFormat="false" ht="162" hidden="false" customHeight="true" outlineLevel="0" collapsed="false">
      <c r="A7" s="30" t="s">
        <v>48</v>
      </c>
      <c r="B7" s="31" t="n">
        <f aca="false">Cronograma!B7</f>
        <v>46318</v>
      </c>
      <c r="C7" s="32" t="str">
        <f aca="false">Cronograma!C7</f>
        <v>sex</v>
      </c>
      <c r="D7" s="32" t="n">
        <f aca="false">Cronograma!D7</f>
        <v>1</v>
      </c>
      <c r="E7" s="30" t="str">
        <f aca="false">Cronograma!E7</f>
        <v>2 · Relevância</v>
      </c>
      <c r="F7" s="30" t="str">
        <f aca="false">Cronograma!F7</f>
        <v>Carrossel</v>
      </c>
      <c r="G7" s="30" t="str">
        <f aca="false">Cronograma!G7</f>
        <v>Cuidar da saúde não deveria começar quando algo vai mal</v>
      </c>
      <c r="H7" s="30" t="s">
        <v>141</v>
      </c>
      <c r="I7" s="30" t="s">
        <v>142</v>
      </c>
      <c r="J7" s="30" t="s">
        <v>143</v>
      </c>
      <c r="K7" s="30" t="s">
        <v>144</v>
      </c>
      <c r="L7" s="30" t="s">
        <v>145</v>
      </c>
      <c r="M7" s="30" t="s">
        <v>146</v>
      </c>
      <c r="N7" s="30" t="s">
        <v>147</v>
      </c>
      <c r="O7" s="30" t="s">
        <v>148</v>
      </c>
      <c r="P7" s="30" t="s">
        <v>149</v>
      </c>
      <c r="Q7" s="30" t="s">
        <v>150</v>
      </c>
      <c r="R7" s="30" t="s">
        <v>151</v>
      </c>
      <c r="S7" s="30" t="s">
        <v>152</v>
      </c>
      <c r="T7" s="30" t="s">
        <v>153</v>
      </c>
      <c r="U7" s="30" t="s">
        <v>154</v>
      </c>
      <c r="V7" s="30" t="str">
        <f aca="false">Cronograma!K7</f>
        <v>Roteiro em revisão</v>
      </c>
      <c r="W7" s="33"/>
      <c r="X7" s="33"/>
    </row>
    <row r="8" customFormat="false" ht="135.75" hidden="false" customHeight="true" outlineLevel="0" collapsed="false">
      <c r="A8" s="30" t="s">
        <v>51</v>
      </c>
      <c r="B8" s="31" t="n">
        <f aca="false">Cronograma!B8</f>
        <v>46321</v>
      </c>
      <c r="C8" s="32" t="str">
        <f aca="false">Cronograma!C8</f>
        <v>seg</v>
      </c>
      <c r="D8" s="32" t="n">
        <f aca="false">Cronograma!D8</f>
        <v>2</v>
      </c>
      <c r="E8" s="30" t="str">
        <f aca="false">Cronograma!E8</f>
        <v>2 · Relevância</v>
      </c>
      <c r="F8" s="30" t="str">
        <f aca="false">Cronograma!F8</f>
        <v>Reel</v>
      </c>
      <c r="G8" s="30" t="str">
        <f aca="false">Cronograma!G8</f>
        <v>O que acontece quando o cuidado não faz parte da rotina?</v>
      </c>
      <c r="H8" s="30" t="s">
        <v>155</v>
      </c>
      <c r="I8" s="30" t="s">
        <v>156</v>
      </c>
      <c r="J8" s="30" t="s">
        <v>157</v>
      </c>
      <c r="K8" s="30" t="s">
        <v>52</v>
      </c>
      <c r="L8" s="30" t="s">
        <v>158</v>
      </c>
      <c r="M8" s="30" t="s">
        <v>159</v>
      </c>
      <c r="N8" s="30" t="s">
        <v>160</v>
      </c>
      <c r="O8" s="30" t="s">
        <v>161</v>
      </c>
      <c r="P8" s="30" t="s">
        <v>162</v>
      </c>
      <c r="Q8" s="30" t="s">
        <v>163</v>
      </c>
      <c r="R8" s="30" t="s">
        <v>164</v>
      </c>
      <c r="S8" s="30" t="s">
        <v>165</v>
      </c>
      <c r="T8" s="30" t="s">
        <v>166</v>
      </c>
      <c r="U8" s="30" t="s">
        <v>167</v>
      </c>
      <c r="V8" s="30" t="str">
        <f aca="false">Cronograma!K8</f>
        <v>Roteiro em revisão</v>
      </c>
      <c r="W8" s="33"/>
      <c r="X8" s="33"/>
    </row>
    <row r="9" customFormat="false" ht="213.75" hidden="false" customHeight="true" outlineLevel="0" collapsed="false">
      <c r="A9" s="30" t="s">
        <v>53</v>
      </c>
      <c r="B9" s="31" t="n">
        <f aca="false">Cronograma!B9</f>
        <v>46323</v>
      </c>
      <c r="C9" s="32" t="str">
        <f aca="false">Cronograma!C9</f>
        <v>qua</v>
      </c>
      <c r="D9" s="32" t="n">
        <f aca="false">Cronograma!D9</f>
        <v>2</v>
      </c>
      <c r="E9" s="30" t="str">
        <f aca="false">Cronograma!E9</f>
        <v>2 · Relevância</v>
      </c>
      <c r="F9" s="30" t="str">
        <f aca="false">Cronograma!F9</f>
        <v>Foto única</v>
      </c>
      <c r="G9" s="30" t="str">
        <f aca="false">Cronograma!G9</f>
        <v>Prevenção também é investimento</v>
      </c>
      <c r="H9" s="30" t="s">
        <v>168</v>
      </c>
      <c r="I9" s="30" t="s">
        <v>169</v>
      </c>
      <c r="J9" s="30" t="s">
        <v>170</v>
      </c>
      <c r="K9" s="30" t="s">
        <v>171</v>
      </c>
      <c r="L9" s="30" t="s">
        <v>172</v>
      </c>
      <c r="M9" s="30" t="s">
        <v>173</v>
      </c>
      <c r="N9" s="30" t="s">
        <v>160</v>
      </c>
      <c r="O9" s="30" t="s">
        <v>174</v>
      </c>
      <c r="P9" s="30" t="s">
        <v>175</v>
      </c>
      <c r="Q9" s="30" t="s">
        <v>176</v>
      </c>
      <c r="R9" s="30" t="s">
        <v>177</v>
      </c>
      <c r="S9" s="30" t="s">
        <v>178</v>
      </c>
      <c r="T9" s="30" t="s">
        <v>179</v>
      </c>
      <c r="U9" s="30" t="s">
        <v>180</v>
      </c>
      <c r="V9" s="30" t="str">
        <f aca="false">Cronograma!K9</f>
        <v>Arte pronta</v>
      </c>
      <c r="W9" s="33"/>
      <c r="X9" s="33"/>
    </row>
    <row r="10" customFormat="false" ht="135.75" hidden="false" customHeight="true" outlineLevel="0" collapsed="false">
      <c r="A10" s="30" t="s">
        <v>56</v>
      </c>
      <c r="B10" s="31" t="n">
        <f aca="false">Cronograma!B10</f>
        <v>46325</v>
      </c>
      <c r="C10" s="32" t="str">
        <f aca="false">Cronograma!C10</f>
        <v>sex</v>
      </c>
      <c r="D10" s="32" t="n">
        <f aca="false">Cronograma!D10</f>
        <v>2</v>
      </c>
      <c r="E10" s="30" t="str">
        <f aca="false">Cronograma!E10</f>
        <v>2 · Relevância</v>
      </c>
      <c r="F10" s="30" t="str">
        <f aca="false">Cronograma!F10</f>
        <v>Carrossel</v>
      </c>
      <c r="G10" s="30" t="str">
        <f aca="false">Cronograma!G10</f>
        <v>Como transformar a prevenção em parte da rotina de uma empresa?</v>
      </c>
      <c r="H10" s="30" t="s">
        <v>181</v>
      </c>
      <c r="I10" s="30" t="s">
        <v>182</v>
      </c>
      <c r="J10" s="30" t="s">
        <v>183</v>
      </c>
      <c r="K10" s="30" t="s">
        <v>184</v>
      </c>
      <c r="L10" s="30" t="s">
        <v>185</v>
      </c>
      <c r="M10" s="30" t="s">
        <v>186</v>
      </c>
      <c r="N10" s="30" t="s">
        <v>147</v>
      </c>
      <c r="O10" s="30" t="s">
        <v>187</v>
      </c>
      <c r="P10" s="30" t="s">
        <v>188</v>
      </c>
      <c r="Q10" s="30" t="s">
        <v>189</v>
      </c>
      <c r="R10" s="30" t="s">
        <v>190</v>
      </c>
      <c r="S10" s="30" t="s">
        <v>191</v>
      </c>
      <c r="T10" s="30" t="s">
        <v>192</v>
      </c>
      <c r="U10" s="30" t="s">
        <v>193</v>
      </c>
      <c r="V10" s="30" t="str">
        <f aca="false">Cronograma!K10</f>
        <v>Roteiro em revisão</v>
      </c>
      <c r="W10" s="33"/>
      <c r="X10" s="33"/>
    </row>
    <row r="11" customFormat="false" ht="187.5" hidden="false" customHeight="true" outlineLevel="0" collapsed="false">
      <c r="A11" s="30" t="s">
        <v>58</v>
      </c>
      <c r="B11" s="31" t="n">
        <f aca="false">Cronograma!B11</f>
        <v>46329</v>
      </c>
      <c r="C11" s="32" t="str">
        <f aca="false">Cronograma!C11</f>
        <v>ter</v>
      </c>
      <c r="D11" s="32" t="n">
        <f aca="false">Cronograma!D11</f>
        <v>3</v>
      </c>
      <c r="E11" s="30" t="str">
        <f aca="false">Cronograma!E11</f>
        <v>3 · Compreensão</v>
      </c>
      <c r="F11" s="30" t="str">
        <f aca="false">Cronograma!F11</f>
        <v>Carrossel</v>
      </c>
      <c r="G11" s="30" t="str">
        <f aca="false">Cronograma!G11</f>
        <v>Como funciona o cuidado na prática?</v>
      </c>
      <c r="H11" s="30" t="s">
        <v>194</v>
      </c>
      <c r="I11" s="30" t="s">
        <v>195</v>
      </c>
      <c r="J11" s="30" t="s">
        <v>143</v>
      </c>
      <c r="K11" s="30" t="s">
        <v>60</v>
      </c>
      <c r="L11" s="30" t="s">
        <v>196</v>
      </c>
      <c r="M11" s="30" t="s">
        <v>197</v>
      </c>
      <c r="N11" s="30" t="s">
        <v>198</v>
      </c>
      <c r="O11" s="30" t="s">
        <v>199</v>
      </c>
      <c r="P11" s="30" t="s">
        <v>200</v>
      </c>
      <c r="Q11" s="30" t="s">
        <v>201</v>
      </c>
      <c r="R11" s="30" t="s">
        <v>202</v>
      </c>
      <c r="S11" s="30" t="s">
        <v>203</v>
      </c>
      <c r="T11" s="30" t="s">
        <v>204</v>
      </c>
      <c r="U11" s="30" t="s">
        <v>205</v>
      </c>
      <c r="V11" s="30" t="str">
        <f aca="false">Cronograma!K11</f>
        <v>Aguardando decisão</v>
      </c>
      <c r="W11" s="33"/>
      <c r="X11" s="33"/>
    </row>
    <row r="12" customFormat="false" ht="148.5" hidden="false" customHeight="true" outlineLevel="0" collapsed="false">
      <c r="A12" s="30" t="s">
        <v>62</v>
      </c>
      <c r="B12" s="31" t="n">
        <f aca="false">Cronograma!B12</f>
        <v>46330</v>
      </c>
      <c r="C12" s="32" t="str">
        <f aca="false">Cronograma!C12</f>
        <v>qua</v>
      </c>
      <c r="D12" s="32" t="n">
        <f aca="false">Cronograma!D12</f>
        <v>3</v>
      </c>
      <c r="E12" s="30" t="str">
        <f aca="false">Cronograma!E12</f>
        <v>3 · Compreensão</v>
      </c>
      <c r="F12" s="30" t="str">
        <f aca="false">Cronograma!F12</f>
        <v>Reel</v>
      </c>
      <c r="G12" s="30" t="str">
        <f aca="false">Cronograma!G12</f>
        <v>Quatro frentes, um cuidado conectado</v>
      </c>
      <c r="H12" s="30" t="s">
        <v>206</v>
      </c>
      <c r="I12" s="30" t="s">
        <v>207</v>
      </c>
      <c r="J12" s="30" t="s">
        <v>208</v>
      </c>
      <c r="K12" s="30" t="s">
        <v>209</v>
      </c>
      <c r="L12" s="30" t="s">
        <v>210</v>
      </c>
      <c r="M12" s="30" t="s">
        <v>211</v>
      </c>
      <c r="N12" s="30" t="s">
        <v>212</v>
      </c>
      <c r="O12" s="30" t="s">
        <v>213</v>
      </c>
      <c r="P12" s="30" t="s">
        <v>214</v>
      </c>
      <c r="Q12" s="30" t="s">
        <v>215</v>
      </c>
      <c r="R12" s="30" t="s">
        <v>216</v>
      </c>
      <c r="S12" s="30" t="s">
        <v>217</v>
      </c>
      <c r="T12" s="30" t="s">
        <v>218</v>
      </c>
      <c r="U12" s="30" t="s">
        <v>219</v>
      </c>
      <c r="V12" s="30" t="str">
        <f aca="false">Cronograma!K12</f>
        <v>Roteiro em revisão</v>
      </c>
      <c r="W12" s="33"/>
      <c r="X12" s="33"/>
    </row>
    <row r="13" customFormat="false" ht="174.75" hidden="false" customHeight="true" outlineLevel="0" collapsed="false">
      <c r="A13" s="30" t="s">
        <v>64</v>
      </c>
      <c r="B13" s="31" t="n">
        <f aca="false">Cronograma!B13</f>
        <v>46332</v>
      </c>
      <c r="C13" s="32" t="str">
        <f aca="false">Cronograma!C13</f>
        <v>sex</v>
      </c>
      <c r="D13" s="32" t="n">
        <f aca="false">Cronograma!D13</f>
        <v>3</v>
      </c>
      <c r="E13" s="30" t="str">
        <f aca="false">Cronograma!E13</f>
        <v>4 · Confiança</v>
      </c>
      <c r="F13" s="30" t="str">
        <f aca="false">Cronograma!F13</f>
        <v>Carrossel</v>
      </c>
      <c r="G13" s="30" t="str">
        <f aca="false">Cronograma!G13</f>
        <v>Uma história de cuidado que começou em 2009</v>
      </c>
      <c r="H13" s="30" t="s">
        <v>220</v>
      </c>
      <c r="I13" s="30" t="s">
        <v>221</v>
      </c>
      <c r="J13" s="30" t="s">
        <v>143</v>
      </c>
      <c r="K13" s="30" t="s">
        <v>222</v>
      </c>
      <c r="L13" s="30" t="s">
        <v>223</v>
      </c>
      <c r="M13" s="30" t="s">
        <v>224</v>
      </c>
      <c r="N13" s="30" t="s">
        <v>225</v>
      </c>
      <c r="O13" s="30" t="s">
        <v>226</v>
      </c>
      <c r="P13" s="30" t="s">
        <v>227</v>
      </c>
      <c r="Q13" s="30" t="s">
        <v>228</v>
      </c>
      <c r="R13" s="30" t="s">
        <v>229</v>
      </c>
      <c r="S13" s="30" t="s">
        <v>230</v>
      </c>
      <c r="T13" s="30" t="s">
        <v>231</v>
      </c>
      <c r="U13" s="30" t="s">
        <v>232</v>
      </c>
      <c r="V13" s="30" t="str">
        <f aca="false">Cronograma!K13</f>
        <v>Roteiro em revisão</v>
      </c>
      <c r="W13" s="33"/>
      <c r="X13" s="33"/>
    </row>
    <row r="14" customFormat="false" ht="123" hidden="false" customHeight="true" outlineLevel="0" collapsed="false">
      <c r="A14" s="30" t="s">
        <v>67</v>
      </c>
      <c r="B14" s="31" t="n">
        <f aca="false">Cronograma!B14</f>
        <v>46335</v>
      </c>
      <c r="C14" s="32" t="str">
        <f aca="false">Cronograma!C14</f>
        <v>seg</v>
      </c>
      <c r="D14" s="32" t="n">
        <f aca="false">Cronograma!D14</f>
        <v>4</v>
      </c>
      <c r="E14" s="30" t="str">
        <f aca="false">Cronograma!E14</f>
        <v>4 · Confiança</v>
      </c>
      <c r="F14" s="30" t="str">
        <f aca="false">Cronograma!F14</f>
        <v>Reel</v>
      </c>
      <c r="G14" s="30" t="str">
        <f aca="false">Cronograma!G14</f>
        <v>Cuidado na prática: experiências e resultados reais</v>
      </c>
      <c r="H14" s="30" t="s">
        <v>233</v>
      </c>
      <c r="I14" s="30" t="s">
        <v>234</v>
      </c>
      <c r="J14" s="30" t="s">
        <v>235</v>
      </c>
      <c r="K14" s="30" t="s">
        <v>236</v>
      </c>
      <c r="L14" s="30" t="s">
        <v>237</v>
      </c>
      <c r="M14" s="30" t="s">
        <v>238</v>
      </c>
      <c r="N14" s="30" t="s">
        <v>160</v>
      </c>
      <c r="O14" s="30" t="s">
        <v>239</v>
      </c>
      <c r="P14" s="30" t="s">
        <v>240</v>
      </c>
      <c r="Q14" s="30" t="s">
        <v>241</v>
      </c>
      <c r="R14" s="30" t="s">
        <v>242</v>
      </c>
      <c r="S14" s="30" t="s">
        <v>243</v>
      </c>
      <c r="T14" s="30" t="s">
        <v>244</v>
      </c>
      <c r="U14" s="30" t="s">
        <v>245</v>
      </c>
      <c r="V14" s="30" t="str">
        <f aca="false">Cronograma!K14</f>
        <v>Roteiro em revisão</v>
      </c>
      <c r="W14" s="33"/>
      <c r="X14" s="33"/>
    </row>
    <row r="15" customFormat="false" ht="201" hidden="false" customHeight="true" outlineLevel="0" collapsed="false">
      <c r="A15" s="30" t="s">
        <v>69</v>
      </c>
      <c r="B15" s="31" t="n">
        <f aca="false">Cronograma!B15</f>
        <v>46337</v>
      </c>
      <c r="C15" s="32" t="str">
        <f aca="false">Cronograma!C15</f>
        <v>qua</v>
      </c>
      <c r="D15" s="32" t="n">
        <f aca="false">Cronograma!D15</f>
        <v>4</v>
      </c>
      <c r="E15" s="30" t="str">
        <f aca="false">Cronograma!E15</f>
        <v>4 · Confiança</v>
      </c>
      <c r="F15" s="30" t="str">
        <f aca="false">Cronograma!F15</f>
        <v>Carrossel</v>
      </c>
      <c r="G15" s="30" t="str">
        <f aca="false">Cronograma!G15</f>
        <v>Estilo de vida também é tratamento sério</v>
      </c>
      <c r="H15" s="30" t="s">
        <v>246</v>
      </c>
      <c r="I15" s="30" t="s">
        <v>169</v>
      </c>
      <c r="J15" s="30" t="s">
        <v>183</v>
      </c>
      <c r="K15" s="30" t="s">
        <v>247</v>
      </c>
      <c r="L15" s="30" t="s">
        <v>248</v>
      </c>
      <c r="M15" s="30" t="s">
        <v>249</v>
      </c>
      <c r="N15" s="30" t="s">
        <v>250</v>
      </c>
      <c r="O15" s="30" t="s">
        <v>251</v>
      </c>
      <c r="P15" s="30" t="s">
        <v>252</v>
      </c>
      <c r="Q15" s="30" t="s">
        <v>228</v>
      </c>
      <c r="R15" s="30" t="s">
        <v>253</v>
      </c>
      <c r="S15" s="30" t="s">
        <v>254</v>
      </c>
      <c r="T15" s="30" t="s">
        <v>255</v>
      </c>
      <c r="U15" s="30" t="s">
        <v>256</v>
      </c>
      <c r="V15" s="30" t="str">
        <f aca="false">Cronograma!K15</f>
        <v>Roteiro pronto</v>
      </c>
      <c r="W15" s="33"/>
      <c r="X15" s="33"/>
    </row>
    <row r="16" customFormat="false" ht="162" hidden="false" customHeight="true" outlineLevel="0" collapsed="false">
      <c r="A16" s="30" t="s">
        <v>72</v>
      </c>
      <c r="B16" s="31" t="n">
        <f aca="false">Cronograma!B16</f>
        <v>46339</v>
      </c>
      <c r="C16" s="32" t="str">
        <f aca="false">Cronograma!C16</f>
        <v>sex</v>
      </c>
      <c r="D16" s="32" t="n">
        <f aca="false">Cronograma!D16</f>
        <v>4</v>
      </c>
      <c r="E16" s="30" t="str">
        <f aca="false">Cronograma!E16</f>
        <v>4 · Confiança</v>
      </c>
      <c r="F16" s="30" t="str">
        <f aca="false">Cronograma!F16</f>
        <v>Carrossel</v>
      </c>
      <c r="G16" s="30" t="str">
        <f aca="false">Cronograma!G16</f>
        <v>Como levar a FairHealth para sua empresa?</v>
      </c>
      <c r="H16" s="30" t="s">
        <v>257</v>
      </c>
      <c r="I16" s="30" t="s">
        <v>258</v>
      </c>
      <c r="J16" s="30" t="s">
        <v>129</v>
      </c>
      <c r="K16" s="30" t="s">
        <v>259</v>
      </c>
      <c r="L16" s="30" t="s">
        <v>260</v>
      </c>
      <c r="M16" s="30" t="s">
        <v>261</v>
      </c>
      <c r="N16" s="30" t="s">
        <v>160</v>
      </c>
      <c r="O16" s="30" t="s">
        <v>262</v>
      </c>
      <c r="P16" s="30" t="s">
        <v>263</v>
      </c>
      <c r="Q16" s="30" t="s">
        <v>228</v>
      </c>
      <c r="R16" s="30" t="s">
        <v>264</v>
      </c>
      <c r="S16" s="30" t="s">
        <v>265</v>
      </c>
      <c r="T16" s="30" t="s">
        <v>266</v>
      </c>
      <c r="U16" s="30" t="s">
        <v>267</v>
      </c>
      <c r="V16" s="30" t="str">
        <f aca="false">Cronograma!K16</f>
        <v>Roteiro em revisão</v>
      </c>
      <c r="W16" s="33"/>
      <c r="X16" s="3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4" min="3" style="0" width="11"/>
    <col collapsed="false" customWidth="true" hidden="false" outlineLevel="0" max="5" min="5" style="0" width="16"/>
    <col collapsed="false" customWidth="true" hidden="false" outlineLevel="0" max="6" min="6" style="0" width="46"/>
    <col collapsed="false" customWidth="true" hidden="false" outlineLevel="0" max="7" min="7" style="0" width="40"/>
    <col collapsed="false" customWidth="true" hidden="false" outlineLevel="0" max="8" min="8" style="0" width="34"/>
    <col collapsed="false" customWidth="true" hidden="false" outlineLevel="0" max="9" min="9" style="0" width="28"/>
  </cols>
  <sheetData>
    <row r="1" customFormat="false" ht="17.35" hidden="false" customHeight="false" outlineLevel="0" collapsed="false">
      <c r="A1" s="4" t="s">
        <v>268</v>
      </c>
    </row>
    <row r="2" customFormat="false" ht="15" hidden="false" customHeight="false" outlineLevel="0" collapsed="false">
      <c r="A2" s="21" t="s">
        <v>269</v>
      </c>
    </row>
    <row r="4" customFormat="false" ht="30" hidden="false" customHeight="true" outlineLevel="0" collapsed="false">
      <c r="A4" s="12" t="s">
        <v>27</v>
      </c>
      <c r="B4" s="12" t="s">
        <v>270</v>
      </c>
      <c r="C4" s="12" t="s">
        <v>32</v>
      </c>
      <c r="D4" s="12" t="s">
        <v>28</v>
      </c>
      <c r="E4" s="12" t="s">
        <v>271</v>
      </c>
      <c r="F4" s="12" t="s">
        <v>272</v>
      </c>
      <c r="G4" s="12" t="s">
        <v>273</v>
      </c>
      <c r="H4" s="12" t="s">
        <v>274</v>
      </c>
      <c r="I4" s="12" t="s">
        <v>275</v>
      </c>
    </row>
    <row r="5" customFormat="false" ht="31.5" hidden="false" customHeight="true" outlineLevel="0" collapsed="false">
      <c r="A5" s="33" t="s">
        <v>39</v>
      </c>
      <c r="B5" s="33" t="str">
        <f aca="false">INDEX(Cronograma!$G$5:$G$16,MATCH(A5,Cronograma!$A$5:$A$16,0))</f>
        <v>Quem somos, na voz do Dr. Ronald</v>
      </c>
      <c r="C5" s="33" t="str">
        <f aca="false">INDEX(Cronograma!$F$5:$F$16,MATCH(A5,Cronograma!$A$5:$A$16,0))</f>
        <v>Reel</v>
      </c>
      <c r="D5" s="34" t="n">
        <f aca="false">INDEX(Cronograma!$B$5:$B$16,MATCH(A5,Cronograma!$A$5:$A$16,0))</f>
        <v>46314</v>
      </c>
      <c r="E5" s="35" t="s">
        <v>276</v>
      </c>
      <c r="F5" s="33" t="s">
        <v>277</v>
      </c>
      <c r="G5" s="33" t="s">
        <v>116</v>
      </c>
      <c r="H5" s="33" t="s">
        <v>278</v>
      </c>
      <c r="I5" s="33" t="s">
        <v>279</v>
      </c>
    </row>
    <row r="6" customFormat="false" ht="57.75" hidden="false" customHeight="true" outlineLevel="0" collapsed="false">
      <c r="A6" s="33" t="s">
        <v>39</v>
      </c>
      <c r="B6" s="33" t="str">
        <f aca="false">INDEX(Cronograma!$G$5:$G$16,MATCH(A6,Cronograma!$A$5:$A$16,0))</f>
        <v>Quem somos, na voz do Dr. Ronald</v>
      </c>
      <c r="C6" s="33" t="str">
        <f aca="false">INDEX(Cronograma!$F$5:$F$16,MATCH(A6,Cronograma!$A$5:$A$16,0))</f>
        <v>Reel</v>
      </c>
      <c r="D6" s="34" t="n">
        <f aca="false">INDEX(Cronograma!$B$5:$B$16,MATCH(A6,Cronograma!$A$5:$A$16,0))</f>
        <v>46314</v>
      </c>
      <c r="E6" s="35" t="s">
        <v>280</v>
      </c>
      <c r="F6" s="33" t="s">
        <v>281</v>
      </c>
      <c r="G6" s="33" t="s">
        <v>282</v>
      </c>
      <c r="H6" s="33" t="s">
        <v>283</v>
      </c>
      <c r="I6" s="33"/>
    </row>
    <row r="7" customFormat="false" ht="45" hidden="false" customHeight="true" outlineLevel="0" collapsed="false">
      <c r="A7" s="33" t="s">
        <v>39</v>
      </c>
      <c r="B7" s="33" t="str">
        <f aca="false">INDEX(Cronograma!$G$5:$G$16,MATCH(A7,Cronograma!$A$5:$A$16,0))</f>
        <v>Quem somos, na voz do Dr. Ronald</v>
      </c>
      <c r="C7" s="33" t="str">
        <f aca="false">INDEX(Cronograma!$F$5:$F$16,MATCH(A7,Cronograma!$A$5:$A$16,0))</f>
        <v>Reel</v>
      </c>
      <c r="D7" s="34" t="n">
        <f aca="false">INDEX(Cronograma!$B$5:$B$16,MATCH(A7,Cronograma!$A$5:$A$16,0))</f>
        <v>46314</v>
      </c>
      <c r="E7" s="35" t="s">
        <v>284</v>
      </c>
      <c r="F7" s="33" t="s">
        <v>285</v>
      </c>
      <c r="G7" s="33" t="s">
        <v>286</v>
      </c>
      <c r="H7" s="33" t="s">
        <v>287</v>
      </c>
      <c r="I7" s="33" t="s">
        <v>288</v>
      </c>
    </row>
    <row r="8" customFormat="false" ht="31.5" hidden="false" customHeight="true" outlineLevel="0" collapsed="false">
      <c r="A8" s="33" t="s">
        <v>39</v>
      </c>
      <c r="B8" s="33" t="str">
        <f aca="false">INDEX(Cronograma!$G$5:$G$16,MATCH(A8,Cronograma!$A$5:$A$16,0))</f>
        <v>Quem somos, na voz do Dr. Ronald</v>
      </c>
      <c r="C8" s="33" t="str">
        <f aca="false">INDEX(Cronograma!$F$5:$F$16,MATCH(A8,Cronograma!$A$5:$A$16,0))</f>
        <v>Reel</v>
      </c>
      <c r="D8" s="34" t="n">
        <f aca="false">INDEX(Cronograma!$B$5:$B$16,MATCH(A8,Cronograma!$A$5:$A$16,0))</f>
        <v>46314</v>
      </c>
      <c r="E8" s="35" t="s">
        <v>289</v>
      </c>
      <c r="F8" s="33" t="s">
        <v>290</v>
      </c>
      <c r="G8" s="33" t="s">
        <v>291</v>
      </c>
      <c r="H8" s="33" t="s">
        <v>292</v>
      </c>
      <c r="I8" s="33"/>
    </row>
    <row r="9" customFormat="false" ht="45" hidden="false" customHeight="true" outlineLevel="0" collapsed="false">
      <c r="A9" s="33" t="s">
        <v>39</v>
      </c>
      <c r="B9" s="33" t="str">
        <f aca="false">INDEX(Cronograma!$G$5:$G$16,MATCH(A9,Cronograma!$A$5:$A$16,0))</f>
        <v>Quem somos, na voz do Dr. Ronald</v>
      </c>
      <c r="C9" s="33" t="str">
        <f aca="false">INDEX(Cronograma!$F$5:$F$16,MATCH(A9,Cronograma!$A$5:$A$16,0))</f>
        <v>Reel</v>
      </c>
      <c r="D9" s="34" t="n">
        <f aca="false">INDEX(Cronograma!$B$5:$B$16,MATCH(A9,Cronograma!$A$5:$A$16,0))</f>
        <v>46314</v>
      </c>
      <c r="E9" s="35" t="s">
        <v>293</v>
      </c>
      <c r="F9" s="33" t="s">
        <v>294</v>
      </c>
      <c r="G9" s="33" t="s">
        <v>295</v>
      </c>
      <c r="H9" s="33" t="s">
        <v>296</v>
      </c>
      <c r="I9" s="33" t="s">
        <v>297</v>
      </c>
    </row>
    <row r="10" customFormat="false" ht="45" hidden="false" customHeight="true" outlineLevel="0" collapsed="false">
      <c r="A10" s="36" t="s">
        <v>44</v>
      </c>
      <c r="B10" s="36" t="str">
        <f aca="false">INDEX(Cronograma!$G$5:$G$16,MATCH(A10,Cronograma!$A$5:$A$16,0))</f>
        <v>Por que a FairHealth existe?</v>
      </c>
      <c r="C10" s="36" t="str">
        <f aca="false">INDEX(Cronograma!$F$5:$F$16,MATCH(A10,Cronograma!$A$5:$A$16,0))</f>
        <v>Carrossel</v>
      </c>
      <c r="D10" s="37" t="n">
        <f aca="false">INDEX(Cronograma!$B$5:$B$16,MATCH(A10,Cronograma!$A$5:$A$16,0))</f>
        <v>46316</v>
      </c>
      <c r="E10" s="38" t="s">
        <v>298</v>
      </c>
      <c r="F10" s="36" t="s">
        <v>299</v>
      </c>
      <c r="G10" s="36"/>
      <c r="H10" s="36" t="s">
        <v>300</v>
      </c>
      <c r="I10" s="36" t="s">
        <v>301</v>
      </c>
    </row>
    <row r="11" customFormat="false" ht="70.5" hidden="false" customHeight="true" outlineLevel="0" collapsed="false">
      <c r="A11" s="36" t="s">
        <v>44</v>
      </c>
      <c r="B11" s="36" t="str">
        <f aca="false">INDEX(Cronograma!$G$5:$G$16,MATCH(A11,Cronograma!$A$5:$A$16,0))</f>
        <v>Por que a FairHealth existe?</v>
      </c>
      <c r="C11" s="36" t="str">
        <f aca="false">INDEX(Cronograma!$F$5:$F$16,MATCH(A11,Cronograma!$A$5:$A$16,0))</f>
        <v>Carrossel</v>
      </c>
      <c r="D11" s="37" t="n">
        <f aca="false">INDEX(Cronograma!$B$5:$B$16,MATCH(A11,Cronograma!$A$5:$A$16,0))</f>
        <v>46316</v>
      </c>
      <c r="E11" s="38" t="s">
        <v>302</v>
      </c>
      <c r="F11" s="36" t="s">
        <v>303</v>
      </c>
      <c r="G11" s="36"/>
      <c r="H11" s="36" t="s">
        <v>304</v>
      </c>
      <c r="I11" s="36"/>
    </row>
    <row r="12" customFormat="false" ht="57.75" hidden="false" customHeight="true" outlineLevel="0" collapsed="false">
      <c r="A12" s="36" t="s">
        <v>44</v>
      </c>
      <c r="B12" s="36" t="str">
        <f aca="false">INDEX(Cronograma!$G$5:$G$16,MATCH(A12,Cronograma!$A$5:$A$16,0))</f>
        <v>Por que a FairHealth existe?</v>
      </c>
      <c r="C12" s="36" t="str">
        <f aca="false">INDEX(Cronograma!$F$5:$F$16,MATCH(A12,Cronograma!$A$5:$A$16,0))</f>
        <v>Carrossel</v>
      </c>
      <c r="D12" s="37" t="n">
        <f aca="false">INDEX(Cronograma!$B$5:$B$16,MATCH(A12,Cronograma!$A$5:$A$16,0))</f>
        <v>46316</v>
      </c>
      <c r="E12" s="38" t="s">
        <v>305</v>
      </c>
      <c r="F12" s="36" t="s">
        <v>306</v>
      </c>
      <c r="G12" s="36"/>
      <c r="H12" s="36" t="s">
        <v>307</v>
      </c>
      <c r="I12" s="36"/>
    </row>
    <row r="13" customFormat="false" ht="57.75" hidden="false" customHeight="true" outlineLevel="0" collapsed="false">
      <c r="A13" s="36" t="s">
        <v>44</v>
      </c>
      <c r="B13" s="36" t="str">
        <f aca="false">INDEX(Cronograma!$G$5:$G$16,MATCH(A13,Cronograma!$A$5:$A$16,0))</f>
        <v>Por que a FairHealth existe?</v>
      </c>
      <c r="C13" s="36" t="str">
        <f aca="false">INDEX(Cronograma!$F$5:$F$16,MATCH(A13,Cronograma!$A$5:$A$16,0))</f>
        <v>Carrossel</v>
      </c>
      <c r="D13" s="37" t="n">
        <f aca="false">INDEX(Cronograma!$B$5:$B$16,MATCH(A13,Cronograma!$A$5:$A$16,0))</f>
        <v>46316</v>
      </c>
      <c r="E13" s="38" t="s">
        <v>308</v>
      </c>
      <c r="F13" s="36" t="s">
        <v>309</v>
      </c>
      <c r="G13" s="36"/>
      <c r="H13" s="36" t="s">
        <v>310</v>
      </c>
      <c r="I13" s="36" t="s">
        <v>311</v>
      </c>
    </row>
    <row r="14" customFormat="false" ht="84" hidden="false" customHeight="true" outlineLevel="0" collapsed="false">
      <c r="A14" s="36" t="s">
        <v>44</v>
      </c>
      <c r="B14" s="36" t="str">
        <f aca="false">INDEX(Cronograma!$G$5:$G$16,MATCH(A14,Cronograma!$A$5:$A$16,0))</f>
        <v>Por que a FairHealth existe?</v>
      </c>
      <c r="C14" s="36" t="str">
        <f aca="false">INDEX(Cronograma!$F$5:$F$16,MATCH(A14,Cronograma!$A$5:$A$16,0))</f>
        <v>Carrossel</v>
      </c>
      <c r="D14" s="37" t="n">
        <f aca="false">INDEX(Cronograma!$B$5:$B$16,MATCH(A14,Cronograma!$A$5:$A$16,0))</f>
        <v>46316</v>
      </c>
      <c r="E14" s="38" t="s">
        <v>312</v>
      </c>
      <c r="F14" s="36" t="s">
        <v>313</v>
      </c>
      <c r="G14" s="36"/>
      <c r="H14" s="36" t="s">
        <v>314</v>
      </c>
      <c r="I14" s="36"/>
    </row>
    <row r="15" customFormat="false" ht="57.75" hidden="false" customHeight="true" outlineLevel="0" collapsed="false">
      <c r="A15" s="36" t="s">
        <v>44</v>
      </c>
      <c r="B15" s="36" t="str">
        <f aca="false">INDEX(Cronograma!$G$5:$G$16,MATCH(A15,Cronograma!$A$5:$A$16,0))</f>
        <v>Por que a FairHealth existe?</v>
      </c>
      <c r="C15" s="36" t="str">
        <f aca="false">INDEX(Cronograma!$F$5:$F$16,MATCH(A15,Cronograma!$A$5:$A$16,0))</f>
        <v>Carrossel</v>
      </c>
      <c r="D15" s="37" t="n">
        <f aca="false">INDEX(Cronograma!$B$5:$B$16,MATCH(A15,Cronograma!$A$5:$A$16,0))</f>
        <v>46316</v>
      </c>
      <c r="E15" s="38" t="s">
        <v>315</v>
      </c>
      <c r="F15" s="36" t="s">
        <v>316</v>
      </c>
      <c r="G15" s="36"/>
      <c r="H15" s="36" t="s">
        <v>317</v>
      </c>
      <c r="I15" s="36"/>
    </row>
    <row r="16" customFormat="false" ht="45" hidden="false" customHeight="true" outlineLevel="0" collapsed="false">
      <c r="A16" s="33" t="s">
        <v>48</v>
      </c>
      <c r="B16" s="33" t="str">
        <f aca="false">INDEX(Cronograma!$G$5:$G$16,MATCH(A16,Cronograma!$A$5:$A$16,0))</f>
        <v>Cuidar da saúde não deveria começar quando algo vai mal</v>
      </c>
      <c r="C16" s="33" t="str">
        <f aca="false">INDEX(Cronograma!$F$5:$F$16,MATCH(A16,Cronograma!$A$5:$A$16,0))</f>
        <v>Carrossel</v>
      </c>
      <c r="D16" s="34" t="n">
        <f aca="false">INDEX(Cronograma!$B$5:$B$16,MATCH(A16,Cronograma!$A$5:$A$16,0))</f>
        <v>46318</v>
      </c>
      <c r="E16" s="35" t="s">
        <v>298</v>
      </c>
      <c r="F16" s="33" t="s">
        <v>318</v>
      </c>
      <c r="G16" s="33"/>
      <c r="H16" s="33" t="s">
        <v>319</v>
      </c>
      <c r="I16" s="33"/>
    </row>
    <row r="17" customFormat="false" ht="31.5" hidden="false" customHeight="true" outlineLevel="0" collapsed="false">
      <c r="A17" s="33" t="s">
        <v>48</v>
      </c>
      <c r="B17" s="33" t="str">
        <f aca="false">INDEX(Cronograma!$G$5:$G$16,MATCH(A17,Cronograma!$A$5:$A$16,0))</f>
        <v>Cuidar da saúde não deveria começar quando algo vai mal</v>
      </c>
      <c r="C17" s="33" t="str">
        <f aca="false">INDEX(Cronograma!$F$5:$F$16,MATCH(A17,Cronograma!$A$5:$A$16,0))</f>
        <v>Carrossel</v>
      </c>
      <c r="D17" s="34" t="n">
        <f aca="false">INDEX(Cronograma!$B$5:$B$16,MATCH(A17,Cronograma!$A$5:$A$16,0))</f>
        <v>46318</v>
      </c>
      <c r="E17" s="35" t="s">
        <v>320</v>
      </c>
      <c r="F17" s="33" t="s">
        <v>321</v>
      </c>
      <c r="G17" s="33"/>
      <c r="H17" s="33" t="s">
        <v>322</v>
      </c>
      <c r="I17" s="33"/>
    </row>
    <row r="18" customFormat="false" ht="31.5" hidden="false" customHeight="true" outlineLevel="0" collapsed="false">
      <c r="A18" s="33" t="s">
        <v>48</v>
      </c>
      <c r="B18" s="33" t="str">
        <f aca="false">INDEX(Cronograma!$G$5:$G$16,MATCH(A18,Cronograma!$A$5:$A$16,0))</f>
        <v>Cuidar da saúde não deveria começar quando algo vai mal</v>
      </c>
      <c r="C18" s="33" t="str">
        <f aca="false">INDEX(Cronograma!$F$5:$F$16,MATCH(A18,Cronograma!$A$5:$A$16,0))</f>
        <v>Carrossel</v>
      </c>
      <c r="D18" s="34" t="n">
        <f aca="false">INDEX(Cronograma!$B$5:$B$16,MATCH(A18,Cronograma!$A$5:$A$16,0))</f>
        <v>46318</v>
      </c>
      <c r="E18" s="35" t="s">
        <v>323</v>
      </c>
      <c r="F18" s="33" t="s">
        <v>324</v>
      </c>
      <c r="G18" s="33"/>
      <c r="H18" s="33" t="s">
        <v>325</v>
      </c>
      <c r="I18" s="33"/>
    </row>
    <row r="19" customFormat="false" ht="31.5" hidden="false" customHeight="true" outlineLevel="0" collapsed="false">
      <c r="A19" s="33" t="s">
        <v>48</v>
      </c>
      <c r="B19" s="33" t="str">
        <f aca="false">INDEX(Cronograma!$G$5:$G$16,MATCH(A19,Cronograma!$A$5:$A$16,0))</f>
        <v>Cuidar da saúde não deveria começar quando algo vai mal</v>
      </c>
      <c r="C19" s="33" t="str">
        <f aca="false">INDEX(Cronograma!$F$5:$F$16,MATCH(A19,Cronograma!$A$5:$A$16,0))</f>
        <v>Carrossel</v>
      </c>
      <c r="D19" s="34" t="n">
        <f aca="false">INDEX(Cronograma!$B$5:$B$16,MATCH(A19,Cronograma!$A$5:$A$16,0))</f>
        <v>46318</v>
      </c>
      <c r="E19" s="35" t="s">
        <v>326</v>
      </c>
      <c r="F19" s="33" t="s">
        <v>327</v>
      </c>
      <c r="G19" s="33"/>
      <c r="H19" s="33" t="s">
        <v>328</v>
      </c>
      <c r="I19" s="33"/>
    </row>
    <row r="20" customFormat="false" ht="31.5" hidden="false" customHeight="true" outlineLevel="0" collapsed="false">
      <c r="A20" s="33" t="s">
        <v>48</v>
      </c>
      <c r="B20" s="33" t="str">
        <f aca="false">INDEX(Cronograma!$G$5:$G$16,MATCH(A20,Cronograma!$A$5:$A$16,0))</f>
        <v>Cuidar da saúde não deveria começar quando algo vai mal</v>
      </c>
      <c r="C20" s="33" t="str">
        <f aca="false">INDEX(Cronograma!$F$5:$F$16,MATCH(A20,Cronograma!$A$5:$A$16,0))</f>
        <v>Carrossel</v>
      </c>
      <c r="D20" s="34" t="n">
        <f aca="false">INDEX(Cronograma!$B$5:$B$16,MATCH(A20,Cronograma!$A$5:$A$16,0))</f>
        <v>46318</v>
      </c>
      <c r="E20" s="35" t="s">
        <v>329</v>
      </c>
      <c r="F20" s="33" t="s">
        <v>330</v>
      </c>
      <c r="G20" s="33"/>
      <c r="H20" s="33" t="s">
        <v>331</v>
      </c>
      <c r="I20" s="33"/>
    </row>
    <row r="21" customFormat="false" ht="45" hidden="false" customHeight="true" outlineLevel="0" collapsed="false">
      <c r="A21" s="33" t="s">
        <v>48</v>
      </c>
      <c r="B21" s="33" t="str">
        <f aca="false">INDEX(Cronograma!$G$5:$G$16,MATCH(A21,Cronograma!$A$5:$A$16,0))</f>
        <v>Cuidar da saúde não deveria começar quando algo vai mal</v>
      </c>
      <c r="C21" s="33" t="str">
        <f aca="false">INDEX(Cronograma!$F$5:$F$16,MATCH(A21,Cronograma!$A$5:$A$16,0))</f>
        <v>Carrossel</v>
      </c>
      <c r="D21" s="34" t="n">
        <f aca="false">INDEX(Cronograma!$B$5:$B$16,MATCH(A21,Cronograma!$A$5:$A$16,0))</f>
        <v>46318</v>
      </c>
      <c r="E21" s="35" t="s">
        <v>332</v>
      </c>
      <c r="F21" s="33" t="s">
        <v>333</v>
      </c>
      <c r="G21" s="33"/>
      <c r="H21" s="33" t="s">
        <v>334</v>
      </c>
      <c r="I21" s="33" t="s">
        <v>335</v>
      </c>
    </row>
    <row r="22" customFormat="false" ht="45" hidden="false" customHeight="true" outlineLevel="0" collapsed="false">
      <c r="A22" s="33" t="s">
        <v>48</v>
      </c>
      <c r="B22" s="33" t="str">
        <f aca="false">INDEX(Cronograma!$G$5:$G$16,MATCH(A22,Cronograma!$A$5:$A$16,0))</f>
        <v>Cuidar da saúde não deveria começar quando algo vai mal</v>
      </c>
      <c r="C22" s="33" t="str">
        <f aca="false">INDEX(Cronograma!$F$5:$F$16,MATCH(A22,Cronograma!$A$5:$A$16,0))</f>
        <v>Carrossel</v>
      </c>
      <c r="D22" s="34" t="n">
        <f aca="false">INDEX(Cronograma!$B$5:$B$16,MATCH(A22,Cronograma!$A$5:$A$16,0))</f>
        <v>46318</v>
      </c>
      <c r="E22" s="35" t="s">
        <v>336</v>
      </c>
      <c r="F22" s="33" t="s">
        <v>337</v>
      </c>
      <c r="G22" s="33"/>
      <c r="H22" s="33" t="s">
        <v>338</v>
      </c>
      <c r="I22" s="33"/>
    </row>
    <row r="23" customFormat="false" ht="45" hidden="false" customHeight="true" outlineLevel="0" collapsed="false">
      <c r="A23" s="33" t="s">
        <v>48</v>
      </c>
      <c r="B23" s="33" t="str">
        <f aca="false">INDEX(Cronograma!$G$5:$G$16,MATCH(A23,Cronograma!$A$5:$A$16,0))</f>
        <v>Cuidar da saúde não deveria começar quando algo vai mal</v>
      </c>
      <c r="C23" s="33" t="str">
        <f aca="false">INDEX(Cronograma!$F$5:$F$16,MATCH(A23,Cronograma!$A$5:$A$16,0))</f>
        <v>Carrossel</v>
      </c>
      <c r="D23" s="34" t="n">
        <f aca="false">INDEX(Cronograma!$B$5:$B$16,MATCH(A23,Cronograma!$A$5:$A$16,0))</f>
        <v>46318</v>
      </c>
      <c r="E23" s="35" t="s">
        <v>339</v>
      </c>
      <c r="F23" s="33" t="s">
        <v>340</v>
      </c>
      <c r="G23" s="33"/>
      <c r="H23" s="33" t="s">
        <v>341</v>
      </c>
      <c r="I23" s="33" t="s">
        <v>342</v>
      </c>
    </row>
    <row r="24" customFormat="false" ht="31.5" hidden="false" customHeight="true" outlineLevel="0" collapsed="false">
      <c r="A24" s="36" t="s">
        <v>51</v>
      </c>
      <c r="B24" s="36" t="str">
        <f aca="false">INDEX(Cronograma!$G$5:$G$16,MATCH(A24,Cronograma!$A$5:$A$16,0))</f>
        <v>O que acontece quando o cuidado não faz parte da rotina?</v>
      </c>
      <c r="C24" s="36" t="str">
        <f aca="false">INDEX(Cronograma!$F$5:$F$16,MATCH(A24,Cronograma!$A$5:$A$16,0))</f>
        <v>Reel</v>
      </c>
      <c r="D24" s="37" t="n">
        <f aca="false">INDEX(Cronograma!$B$5:$B$16,MATCH(A24,Cronograma!$A$5:$A$16,0))</f>
        <v>46321</v>
      </c>
      <c r="E24" s="38" t="s">
        <v>276</v>
      </c>
      <c r="F24" s="36" t="s">
        <v>52</v>
      </c>
      <c r="G24" s="36"/>
      <c r="H24" s="36" t="s">
        <v>343</v>
      </c>
      <c r="I24" s="36" t="s">
        <v>344</v>
      </c>
    </row>
    <row r="25" customFormat="false" ht="45" hidden="false" customHeight="true" outlineLevel="0" collapsed="false">
      <c r="A25" s="36" t="s">
        <v>51</v>
      </c>
      <c r="B25" s="36" t="str">
        <f aca="false">INDEX(Cronograma!$G$5:$G$16,MATCH(A25,Cronograma!$A$5:$A$16,0))</f>
        <v>O que acontece quando o cuidado não faz parte da rotina?</v>
      </c>
      <c r="C25" s="36" t="str">
        <f aca="false">INDEX(Cronograma!$F$5:$F$16,MATCH(A25,Cronograma!$A$5:$A$16,0))</f>
        <v>Reel</v>
      </c>
      <c r="D25" s="37" t="n">
        <f aca="false">INDEX(Cronograma!$B$5:$B$16,MATCH(A25,Cronograma!$A$5:$A$16,0))</f>
        <v>46321</v>
      </c>
      <c r="E25" s="38" t="s">
        <v>345</v>
      </c>
      <c r="F25" s="36" t="s">
        <v>346</v>
      </c>
      <c r="G25" s="36"/>
      <c r="H25" s="36" t="s">
        <v>347</v>
      </c>
      <c r="I25" s="36" t="s">
        <v>348</v>
      </c>
    </row>
    <row r="26" customFormat="false" ht="18.75" hidden="false" customHeight="true" outlineLevel="0" collapsed="false">
      <c r="A26" s="36" t="s">
        <v>51</v>
      </c>
      <c r="B26" s="36" t="str">
        <f aca="false">INDEX(Cronograma!$G$5:$G$16,MATCH(A26,Cronograma!$A$5:$A$16,0))</f>
        <v>O que acontece quando o cuidado não faz parte da rotina?</v>
      </c>
      <c r="C26" s="36" t="str">
        <f aca="false">INDEX(Cronograma!$F$5:$F$16,MATCH(A26,Cronograma!$A$5:$A$16,0))</f>
        <v>Reel</v>
      </c>
      <c r="D26" s="37" t="n">
        <f aca="false">INDEX(Cronograma!$B$5:$B$16,MATCH(A26,Cronograma!$A$5:$A$16,0))</f>
        <v>46321</v>
      </c>
      <c r="E26" s="38" t="s">
        <v>349</v>
      </c>
      <c r="F26" s="36" t="s">
        <v>350</v>
      </c>
      <c r="G26" s="36"/>
      <c r="H26" s="36" t="s">
        <v>351</v>
      </c>
      <c r="I26" s="36"/>
    </row>
    <row r="27" customFormat="false" ht="31.5" hidden="false" customHeight="true" outlineLevel="0" collapsed="false">
      <c r="A27" s="36" t="s">
        <v>51</v>
      </c>
      <c r="B27" s="36" t="str">
        <f aca="false">INDEX(Cronograma!$G$5:$G$16,MATCH(A27,Cronograma!$A$5:$A$16,0))</f>
        <v>O que acontece quando o cuidado não faz parte da rotina?</v>
      </c>
      <c r="C27" s="36" t="str">
        <f aca="false">INDEX(Cronograma!$F$5:$F$16,MATCH(A27,Cronograma!$A$5:$A$16,0))</f>
        <v>Reel</v>
      </c>
      <c r="D27" s="37" t="n">
        <f aca="false">INDEX(Cronograma!$B$5:$B$16,MATCH(A27,Cronograma!$A$5:$A$16,0))</f>
        <v>46321</v>
      </c>
      <c r="E27" s="38" t="s">
        <v>352</v>
      </c>
      <c r="F27" s="36" t="s">
        <v>353</v>
      </c>
      <c r="G27" s="36"/>
      <c r="H27" s="36" t="s">
        <v>354</v>
      </c>
      <c r="I27" s="36"/>
    </row>
    <row r="28" customFormat="false" ht="18.75" hidden="false" customHeight="true" outlineLevel="0" collapsed="false">
      <c r="A28" s="36" t="s">
        <v>51</v>
      </c>
      <c r="B28" s="36" t="str">
        <f aca="false">INDEX(Cronograma!$G$5:$G$16,MATCH(A28,Cronograma!$A$5:$A$16,0))</f>
        <v>O que acontece quando o cuidado não faz parte da rotina?</v>
      </c>
      <c r="C28" s="36" t="str">
        <f aca="false">INDEX(Cronograma!$F$5:$F$16,MATCH(A28,Cronograma!$A$5:$A$16,0))</f>
        <v>Reel</v>
      </c>
      <c r="D28" s="37" t="n">
        <f aca="false">INDEX(Cronograma!$B$5:$B$16,MATCH(A28,Cronograma!$A$5:$A$16,0))</f>
        <v>46321</v>
      </c>
      <c r="E28" s="38" t="s">
        <v>355</v>
      </c>
      <c r="F28" s="36" t="s">
        <v>356</v>
      </c>
      <c r="G28" s="36"/>
      <c r="H28" s="36" t="s">
        <v>357</v>
      </c>
      <c r="I28" s="36"/>
    </row>
    <row r="29" customFormat="false" ht="18.75" hidden="false" customHeight="true" outlineLevel="0" collapsed="false">
      <c r="A29" s="36" t="s">
        <v>51</v>
      </c>
      <c r="B29" s="36" t="str">
        <f aca="false">INDEX(Cronograma!$G$5:$G$16,MATCH(A29,Cronograma!$A$5:$A$16,0))</f>
        <v>O que acontece quando o cuidado não faz parte da rotina?</v>
      </c>
      <c r="C29" s="36" t="str">
        <f aca="false">INDEX(Cronograma!$F$5:$F$16,MATCH(A29,Cronograma!$A$5:$A$16,0))</f>
        <v>Reel</v>
      </c>
      <c r="D29" s="37" t="n">
        <f aca="false">INDEX(Cronograma!$B$5:$B$16,MATCH(A29,Cronograma!$A$5:$A$16,0))</f>
        <v>46321</v>
      </c>
      <c r="E29" s="38" t="s">
        <v>358</v>
      </c>
      <c r="F29" s="36" t="s">
        <v>359</v>
      </c>
      <c r="G29" s="36"/>
      <c r="H29" s="36" t="s">
        <v>360</v>
      </c>
      <c r="I29" s="36"/>
    </row>
    <row r="30" customFormat="false" ht="18.75" hidden="false" customHeight="true" outlineLevel="0" collapsed="false">
      <c r="A30" s="36" t="s">
        <v>51</v>
      </c>
      <c r="B30" s="36" t="str">
        <f aca="false">INDEX(Cronograma!$G$5:$G$16,MATCH(A30,Cronograma!$A$5:$A$16,0))</f>
        <v>O que acontece quando o cuidado não faz parte da rotina?</v>
      </c>
      <c r="C30" s="36" t="str">
        <f aca="false">INDEX(Cronograma!$F$5:$F$16,MATCH(A30,Cronograma!$A$5:$A$16,0))</f>
        <v>Reel</v>
      </c>
      <c r="D30" s="37" t="n">
        <f aca="false">INDEX(Cronograma!$B$5:$B$16,MATCH(A30,Cronograma!$A$5:$A$16,0))</f>
        <v>46321</v>
      </c>
      <c r="E30" s="38" t="s">
        <v>361</v>
      </c>
      <c r="F30" s="36" t="s">
        <v>362</v>
      </c>
      <c r="G30" s="36"/>
      <c r="H30" s="36" t="s">
        <v>363</v>
      </c>
      <c r="I30" s="36"/>
    </row>
    <row r="31" customFormat="false" ht="18.75" hidden="false" customHeight="true" outlineLevel="0" collapsed="false">
      <c r="A31" s="36" t="s">
        <v>51</v>
      </c>
      <c r="B31" s="36" t="str">
        <f aca="false">INDEX(Cronograma!$G$5:$G$16,MATCH(A31,Cronograma!$A$5:$A$16,0))</f>
        <v>O que acontece quando o cuidado não faz parte da rotina?</v>
      </c>
      <c r="C31" s="36" t="str">
        <f aca="false">INDEX(Cronograma!$F$5:$F$16,MATCH(A31,Cronograma!$A$5:$A$16,0))</f>
        <v>Reel</v>
      </c>
      <c r="D31" s="37" t="n">
        <f aca="false">INDEX(Cronograma!$B$5:$B$16,MATCH(A31,Cronograma!$A$5:$A$16,0))</f>
        <v>46321</v>
      </c>
      <c r="E31" s="38" t="s">
        <v>364</v>
      </c>
      <c r="F31" s="36" t="s">
        <v>365</v>
      </c>
      <c r="G31" s="36"/>
      <c r="H31" s="36" t="s">
        <v>366</v>
      </c>
      <c r="I31" s="36"/>
    </row>
    <row r="32" customFormat="false" ht="57.75" hidden="false" customHeight="true" outlineLevel="0" collapsed="false">
      <c r="A32" s="33" t="s">
        <v>53</v>
      </c>
      <c r="B32" s="33" t="str">
        <f aca="false">INDEX(Cronograma!$G$5:$G$16,MATCH(A32,Cronograma!$A$5:$A$16,0))</f>
        <v>Prevenção também é investimento</v>
      </c>
      <c r="C32" s="33" t="str">
        <f aca="false">INDEX(Cronograma!$F$5:$F$16,MATCH(A32,Cronograma!$A$5:$A$16,0))</f>
        <v>Foto única</v>
      </c>
      <c r="D32" s="34" t="n">
        <f aca="false">INDEX(Cronograma!$B$5:$B$16,MATCH(A32,Cronograma!$A$5:$A$16,0))</f>
        <v>46323</v>
      </c>
      <c r="E32" s="35" t="s">
        <v>367</v>
      </c>
      <c r="F32" s="33" t="s">
        <v>368</v>
      </c>
      <c r="G32" s="33"/>
      <c r="H32" s="33" t="s">
        <v>369</v>
      </c>
      <c r="I32" s="33" t="s">
        <v>370</v>
      </c>
    </row>
    <row r="33" customFormat="false" ht="45" hidden="false" customHeight="true" outlineLevel="0" collapsed="false">
      <c r="A33" s="36" t="s">
        <v>56</v>
      </c>
      <c r="B33" s="36" t="str">
        <f aca="false">INDEX(Cronograma!$G$5:$G$16,MATCH(A33,Cronograma!$A$5:$A$16,0))</f>
        <v>Como transformar a prevenção em parte da rotina de uma empresa?</v>
      </c>
      <c r="C33" s="36" t="str">
        <f aca="false">INDEX(Cronograma!$F$5:$F$16,MATCH(A33,Cronograma!$A$5:$A$16,0))</f>
        <v>Carrossel</v>
      </c>
      <c r="D33" s="37" t="n">
        <f aca="false">INDEX(Cronograma!$B$5:$B$16,MATCH(A33,Cronograma!$A$5:$A$16,0))</f>
        <v>46325</v>
      </c>
      <c r="E33" s="38" t="s">
        <v>298</v>
      </c>
      <c r="F33" s="36" t="s">
        <v>371</v>
      </c>
      <c r="G33" s="36"/>
      <c r="H33" s="36" t="s">
        <v>372</v>
      </c>
      <c r="I33" s="36"/>
    </row>
    <row r="34" customFormat="false" ht="57.75" hidden="false" customHeight="true" outlineLevel="0" collapsed="false">
      <c r="A34" s="36" t="s">
        <v>56</v>
      </c>
      <c r="B34" s="36" t="str">
        <f aca="false">INDEX(Cronograma!$G$5:$G$16,MATCH(A34,Cronograma!$A$5:$A$16,0))</f>
        <v>Como transformar a prevenção em parte da rotina de uma empresa?</v>
      </c>
      <c r="C34" s="36" t="str">
        <f aca="false">INDEX(Cronograma!$F$5:$F$16,MATCH(A34,Cronograma!$A$5:$A$16,0))</f>
        <v>Carrossel</v>
      </c>
      <c r="D34" s="37" t="n">
        <f aca="false">INDEX(Cronograma!$B$5:$B$16,MATCH(A34,Cronograma!$A$5:$A$16,0))</f>
        <v>46325</v>
      </c>
      <c r="E34" s="38" t="s">
        <v>320</v>
      </c>
      <c r="F34" s="36" t="s">
        <v>373</v>
      </c>
      <c r="G34" s="36"/>
      <c r="H34" s="36" t="s">
        <v>374</v>
      </c>
      <c r="I34" s="36"/>
    </row>
    <row r="35" customFormat="false" ht="45" hidden="false" customHeight="true" outlineLevel="0" collapsed="false">
      <c r="A35" s="36" t="s">
        <v>56</v>
      </c>
      <c r="B35" s="36" t="str">
        <f aca="false">INDEX(Cronograma!$G$5:$G$16,MATCH(A35,Cronograma!$A$5:$A$16,0))</f>
        <v>Como transformar a prevenção em parte da rotina de uma empresa?</v>
      </c>
      <c r="C35" s="36" t="str">
        <f aca="false">INDEX(Cronograma!$F$5:$F$16,MATCH(A35,Cronograma!$A$5:$A$16,0))</f>
        <v>Carrossel</v>
      </c>
      <c r="D35" s="37" t="n">
        <f aca="false">INDEX(Cronograma!$B$5:$B$16,MATCH(A35,Cronograma!$A$5:$A$16,0))</f>
        <v>46325</v>
      </c>
      <c r="E35" s="38" t="s">
        <v>323</v>
      </c>
      <c r="F35" s="36" t="s">
        <v>375</v>
      </c>
      <c r="G35" s="36"/>
      <c r="H35" s="36" t="s">
        <v>376</v>
      </c>
      <c r="I35" s="36"/>
    </row>
    <row r="36" customFormat="false" ht="45" hidden="false" customHeight="true" outlineLevel="0" collapsed="false">
      <c r="A36" s="36" t="s">
        <v>56</v>
      </c>
      <c r="B36" s="36" t="str">
        <f aca="false">INDEX(Cronograma!$G$5:$G$16,MATCH(A36,Cronograma!$A$5:$A$16,0))</f>
        <v>Como transformar a prevenção em parte da rotina de uma empresa?</v>
      </c>
      <c r="C36" s="36" t="str">
        <f aca="false">INDEX(Cronograma!$F$5:$F$16,MATCH(A36,Cronograma!$A$5:$A$16,0))</f>
        <v>Carrossel</v>
      </c>
      <c r="D36" s="37" t="n">
        <f aca="false">INDEX(Cronograma!$B$5:$B$16,MATCH(A36,Cronograma!$A$5:$A$16,0))</f>
        <v>46325</v>
      </c>
      <c r="E36" s="38" t="s">
        <v>326</v>
      </c>
      <c r="F36" s="36" t="s">
        <v>377</v>
      </c>
      <c r="G36" s="36"/>
      <c r="H36" s="36" t="s">
        <v>378</v>
      </c>
      <c r="I36" s="36"/>
    </row>
    <row r="37" customFormat="false" ht="45" hidden="false" customHeight="true" outlineLevel="0" collapsed="false">
      <c r="A37" s="36" t="s">
        <v>56</v>
      </c>
      <c r="B37" s="36" t="str">
        <f aca="false">INDEX(Cronograma!$G$5:$G$16,MATCH(A37,Cronograma!$A$5:$A$16,0))</f>
        <v>Como transformar a prevenção em parte da rotina de uma empresa?</v>
      </c>
      <c r="C37" s="36" t="str">
        <f aca="false">INDEX(Cronograma!$F$5:$F$16,MATCH(A37,Cronograma!$A$5:$A$16,0))</f>
        <v>Carrossel</v>
      </c>
      <c r="D37" s="37" t="n">
        <f aca="false">INDEX(Cronograma!$B$5:$B$16,MATCH(A37,Cronograma!$A$5:$A$16,0))</f>
        <v>46325</v>
      </c>
      <c r="E37" s="38" t="s">
        <v>329</v>
      </c>
      <c r="F37" s="36" t="s">
        <v>379</v>
      </c>
      <c r="G37" s="36"/>
      <c r="H37" s="36" t="s">
        <v>380</v>
      </c>
      <c r="I37" s="36"/>
    </row>
    <row r="38" customFormat="false" ht="45" hidden="false" customHeight="true" outlineLevel="0" collapsed="false">
      <c r="A38" s="36" t="s">
        <v>56</v>
      </c>
      <c r="B38" s="36" t="str">
        <f aca="false">INDEX(Cronograma!$G$5:$G$16,MATCH(A38,Cronograma!$A$5:$A$16,0))</f>
        <v>Como transformar a prevenção em parte da rotina de uma empresa?</v>
      </c>
      <c r="C38" s="36" t="str">
        <f aca="false">INDEX(Cronograma!$F$5:$F$16,MATCH(A38,Cronograma!$A$5:$A$16,0))</f>
        <v>Carrossel</v>
      </c>
      <c r="D38" s="37" t="n">
        <f aca="false">INDEX(Cronograma!$B$5:$B$16,MATCH(A38,Cronograma!$A$5:$A$16,0))</f>
        <v>46325</v>
      </c>
      <c r="E38" s="38" t="s">
        <v>332</v>
      </c>
      <c r="F38" s="36" t="s">
        <v>381</v>
      </c>
      <c r="G38" s="36"/>
      <c r="H38" s="36" t="s">
        <v>382</v>
      </c>
      <c r="I38" s="36"/>
    </row>
    <row r="39" customFormat="false" ht="45" hidden="false" customHeight="true" outlineLevel="0" collapsed="false">
      <c r="A39" s="36" t="s">
        <v>56</v>
      </c>
      <c r="B39" s="36" t="str">
        <f aca="false">INDEX(Cronograma!$G$5:$G$16,MATCH(A39,Cronograma!$A$5:$A$16,0))</f>
        <v>Como transformar a prevenção em parte da rotina de uma empresa?</v>
      </c>
      <c r="C39" s="36" t="str">
        <f aca="false">INDEX(Cronograma!$F$5:$F$16,MATCH(A39,Cronograma!$A$5:$A$16,0))</f>
        <v>Carrossel</v>
      </c>
      <c r="D39" s="37" t="n">
        <f aca="false">INDEX(Cronograma!$B$5:$B$16,MATCH(A39,Cronograma!$A$5:$A$16,0))</f>
        <v>46325</v>
      </c>
      <c r="E39" s="38" t="s">
        <v>383</v>
      </c>
      <c r="F39" s="36" t="s">
        <v>384</v>
      </c>
      <c r="G39" s="36"/>
      <c r="H39" s="36" t="s">
        <v>341</v>
      </c>
      <c r="I39" s="36"/>
    </row>
    <row r="40" customFormat="false" ht="31.5" hidden="false" customHeight="true" outlineLevel="0" collapsed="false">
      <c r="A40" s="33" t="s">
        <v>58</v>
      </c>
      <c r="B40" s="33" t="str">
        <f aca="false">INDEX(Cronograma!$G$5:$G$16,MATCH(A40,Cronograma!$A$5:$A$16,0))</f>
        <v>Como funciona o cuidado na prática?</v>
      </c>
      <c r="C40" s="33" t="str">
        <f aca="false">INDEX(Cronograma!$F$5:$F$16,MATCH(A40,Cronograma!$A$5:$A$16,0))</f>
        <v>Carrossel</v>
      </c>
      <c r="D40" s="34" t="n">
        <f aca="false">INDEX(Cronograma!$B$5:$B$16,MATCH(A40,Cronograma!$A$5:$A$16,0))</f>
        <v>46329</v>
      </c>
      <c r="E40" s="35" t="s">
        <v>298</v>
      </c>
      <c r="F40" s="33" t="s">
        <v>385</v>
      </c>
      <c r="G40" s="33"/>
      <c r="H40" s="33" t="s">
        <v>386</v>
      </c>
      <c r="I40" s="33"/>
    </row>
    <row r="41" customFormat="false" ht="31.5" hidden="false" customHeight="true" outlineLevel="0" collapsed="false">
      <c r="A41" s="33" t="s">
        <v>58</v>
      </c>
      <c r="B41" s="33" t="str">
        <f aca="false">INDEX(Cronograma!$G$5:$G$16,MATCH(A41,Cronograma!$A$5:$A$16,0))</f>
        <v>Como funciona o cuidado na prática?</v>
      </c>
      <c r="C41" s="33" t="str">
        <f aca="false">INDEX(Cronograma!$F$5:$F$16,MATCH(A41,Cronograma!$A$5:$A$16,0))</f>
        <v>Carrossel</v>
      </c>
      <c r="D41" s="34" t="n">
        <f aca="false">INDEX(Cronograma!$B$5:$B$16,MATCH(A41,Cronograma!$A$5:$A$16,0))</f>
        <v>46329</v>
      </c>
      <c r="E41" s="35" t="s">
        <v>320</v>
      </c>
      <c r="F41" s="33" t="s">
        <v>387</v>
      </c>
      <c r="G41" s="33"/>
      <c r="H41" s="33" t="s">
        <v>388</v>
      </c>
      <c r="I41" s="33"/>
    </row>
    <row r="42" customFormat="false" ht="70.5" hidden="false" customHeight="true" outlineLevel="0" collapsed="false">
      <c r="A42" s="33" t="s">
        <v>58</v>
      </c>
      <c r="B42" s="33" t="str">
        <f aca="false">INDEX(Cronograma!$G$5:$G$16,MATCH(A42,Cronograma!$A$5:$A$16,0))</f>
        <v>Como funciona o cuidado na prática?</v>
      </c>
      <c r="C42" s="33" t="str">
        <f aca="false">INDEX(Cronograma!$F$5:$F$16,MATCH(A42,Cronograma!$A$5:$A$16,0))</f>
        <v>Carrossel</v>
      </c>
      <c r="D42" s="34" t="n">
        <f aca="false">INDEX(Cronograma!$B$5:$B$16,MATCH(A42,Cronograma!$A$5:$A$16,0))</f>
        <v>46329</v>
      </c>
      <c r="E42" s="35" t="s">
        <v>323</v>
      </c>
      <c r="F42" s="33" t="s">
        <v>389</v>
      </c>
      <c r="G42" s="33"/>
      <c r="H42" s="33" t="s">
        <v>390</v>
      </c>
      <c r="I42" s="33"/>
    </row>
    <row r="43" customFormat="false" ht="45" hidden="false" customHeight="true" outlineLevel="0" collapsed="false">
      <c r="A43" s="33" t="s">
        <v>58</v>
      </c>
      <c r="B43" s="33" t="str">
        <f aca="false">INDEX(Cronograma!$G$5:$G$16,MATCH(A43,Cronograma!$A$5:$A$16,0))</f>
        <v>Como funciona o cuidado na prática?</v>
      </c>
      <c r="C43" s="33" t="str">
        <f aca="false">INDEX(Cronograma!$F$5:$F$16,MATCH(A43,Cronograma!$A$5:$A$16,0))</f>
        <v>Carrossel</v>
      </c>
      <c r="D43" s="34" t="n">
        <f aca="false">INDEX(Cronograma!$B$5:$B$16,MATCH(A43,Cronograma!$A$5:$A$16,0))</f>
        <v>46329</v>
      </c>
      <c r="E43" s="35" t="s">
        <v>326</v>
      </c>
      <c r="F43" s="33" t="s">
        <v>391</v>
      </c>
      <c r="G43" s="33"/>
      <c r="H43" s="33" t="s">
        <v>392</v>
      </c>
      <c r="I43" s="33" t="s">
        <v>393</v>
      </c>
    </row>
    <row r="44" customFormat="false" ht="45" hidden="false" customHeight="true" outlineLevel="0" collapsed="false">
      <c r="A44" s="33" t="s">
        <v>58</v>
      </c>
      <c r="B44" s="33" t="str">
        <f aca="false">INDEX(Cronograma!$G$5:$G$16,MATCH(A44,Cronograma!$A$5:$A$16,0))</f>
        <v>Como funciona o cuidado na prática?</v>
      </c>
      <c r="C44" s="33" t="str">
        <f aca="false">INDEX(Cronograma!$F$5:$F$16,MATCH(A44,Cronograma!$A$5:$A$16,0))</f>
        <v>Carrossel</v>
      </c>
      <c r="D44" s="34" t="n">
        <f aca="false">INDEX(Cronograma!$B$5:$B$16,MATCH(A44,Cronograma!$A$5:$A$16,0))</f>
        <v>46329</v>
      </c>
      <c r="E44" s="35" t="s">
        <v>329</v>
      </c>
      <c r="F44" s="33" t="s">
        <v>394</v>
      </c>
      <c r="G44" s="33"/>
      <c r="H44" s="33" t="s">
        <v>395</v>
      </c>
      <c r="I44" s="33"/>
    </row>
    <row r="45" customFormat="false" ht="57.75" hidden="false" customHeight="true" outlineLevel="0" collapsed="false">
      <c r="A45" s="33" t="s">
        <v>58</v>
      </c>
      <c r="B45" s="33" t="str">
        <f aca="false">INDEX(Cronograma!$G$5:$G$16,MATCH(A45,Cronograma!$A$5:$A$16,0))</f>
        <v>Como funciona o cuidado na prática?</v>
      </c>
      <c r="C45" s="33" t="str">
        <f aca="false">INDEX(Cronograma!$F$5:$F$16,MATCH(A45,Cronograma!$A$5:$A$16,0))</f>
        <v>Carrossel</v>
      </c>
      <c r="D45" s="34" t="n">
        <f aca="false">INDEX(Cronograma!$B$5:$B$16,MATCH(A45,Cronograma!$A$5:$A$16,0))</f>
        <v>46329</v>
      </c>
      <c r="E45" s="35" t="s">
        <v>332</v>
      </c>
      <c r="F45" s="33" t="s">
        <v>396</v>
      </c>
      <c r="G45" s="33"/>
      <c r="H45" s="33" t="s">
        <v>397</v>
      </c>
      <c r="I45" s="33"/>
    </row>
    <row r="46" customFormat="false" ht="31.5" hidden="false" customHeight="true" outlineLevel="0" collapsed="false">
      <c r="A46" s="33" t="s">
        <v>58</v>
      </c>
      <c r="B46" s="33" t="str">
        <f aca="false">INDEX(Cronograma!$G$5:$G$16,MATCH(A46,Cronograma!$A$5:$A$16,0))</f>
        <v>Como funciona o cuidado na prática?</v>
      </c>
      <c r="C46" s="33" t="str">
        <f aca="false">INDEX(Cronograma!$F$5:$F$16,MATCH(A46,Cronograma!$A$5:$A$16,0))</f>
        <v>Carrossel</v>
      </c>
      <c r="D46" s="34" t="n">
        <f aca="false">INDEX(Cronograma!$B$5:$B$16,MATCH(A46,Cronograma!$A$5:$A$16,0))</f>
        <v>46329</v>
      </c>
      <c r="E46" s="35" t="s">
        <v>336</v>
      </c>
      <c r="F46" s="33" t="s">
        <v>398</v>
      </c>
      <c r="G46" s="33"/>
      <c r="H46" s="33" t="s">
        <v>399</v>
      </c>
      <c r="I46" s="33"/>
    </row>
    <row r="47" customFormat="false" ht="31.5" hidden="false" customHeight="true" outlineLevel="0" collapsed="false">
      <c r="A47" s="33" t="s">
        <v>58</v>
      </c>
      <c r="B47" s="33" t="str">
        <f aca="false">INDEX(Cronograma!$G$5:$G$16,MATCH(A47,Cronograma!$A$5:$A$16,0))</f>
        <v>Como funciona o cuidado na prática?</v>
      </c>
      <c r="C47" s="33" t="str">
        <f aca="false">INDEX(Cronograma!$F$5:$F$16,MATCH(A47,Cronograma!$A$5:$A$16,0))</f>
        <v>Carrossel</v>
      </c>
      <c r="D47" s="34" t="n">
        <f aca="false">INDEX(Cronograma!$B$5:$B$16,MATCH(A47,Cronograma!$A$5:$A$16,0))</f>
        <v>46329</v>
      </c>
      <c r="E47" s="35" t="s">
        <v>339</v>
      </c>
      <c r="F47" s="33" t="s">
        <v>400</v>
      </c>
      <c r="G47" s="33"/>
      <c r="H47" s="33" t="s">
        <v>401</v>
      </c>
      <c r="I47" s="33" t="s">
        <v>402</v>
      </c>
    </row>
    <row r="48" customFormat="false" ht="31.5" hidden="false" customHeight="true" outlineLevel="0" collapsed="false">
      <c r="A48" s="36" t="s">
        <v>62</v>
      </c>
      <c r="B48" s="36" t="str">
        <f aca="false">INDEX(Cronograma!$G$5:$G$16,MATCH(A48,Cronograma!$A$5:$A$16,0))</f>
        <v>Quatro frentes, um cuidado conectado</v>
      </c>
      <c r="C48" s="36" t="str">
        <f aca="false">INDEX(Cronograma!$F$5:$F$16,MATCH(A48,Cronograma!$A$5:$A$16,0))</f>
        <v>Reel</v>
      </c>
      <c r="D48" s="37" t="n">
        <f aca="false">INDEX(Cronograma!$B$5:$B$16,MATCH(A48,Cronograma!$A$5:$A$16,0))</f>
        <v>46330</v>
      </c>
      <c r="E48" s="38" t="s">
        <v>276</v>
      </c>
      <c r="F48" s="36" t="s">
        <v>209</v>
      </c>
      <c r="G48" s="36"/>
      <c r="H48" s="36" t="s">
        <v>403</v>
      </c>
      <c r="I48" s="36" t="s">
        <v>344</v>
      </c>
    </row>
    <row r="49" customFormat="false" ht="31.5" hidden="false" customHeight="true" outlineLevel="0" collapsed="false">
      <c r="A49" s="36" t="s">
        <v>62</v>
      </c>
      <c r="B49" s="36" t="str">
        <f aca="false">INDEX(Cronograma!$G$5:$G$16,MATCH(A49,Cronograma!$A$5:$A$16,0))</f>
        <v>Quatro frentes, um cuidado conectado</v>
      </c>
      <c r="C49" s="36" t="str">
        <f aca="false">INDEX(Cronograma!$F$5:$F$16,MATCH(A49,Cronograma!$A$5:$A$16,0))</f>
        <v>Reel</v>
      </c>
      <c r="D49" s="37" t="n">
        <f aca="false">INDEX(Cronograma!$B$5:$B$16,MATCH(A49,Cronograma!$A$5:$A$16,0))</f>
        <v>46330</v>
      </c>
      <c r="E49" s="38" t="s">
        <v>345</v>
      </c>
      <c r="F49" s="36" t="s">
        <v>404</v>
      </c>
      <c r="G49" s="36"/>
      <c r="H49" s="36" t="s">
        <v>405</v>
      </c>
      <c r="I49" s="36"/>
    </row>
    <row r="50" customFormat="false" ht="31.5" hidden="false" customHeight="true" outlineLevel="0" collapsed="false">
      <c r="A50" s="36" t="s">
        <v>62</v>
      </c>
      <c r="B50" s="36" t="str">
        <f aca="false">INDEX(Cronograma!$G$5:$G$16,MATCH(A50,Cronograma!$A$5:$A$16,0))</f>
        <v>Quatro frentes, um cuidado conectado</v>
      </c>
      <c r="C50" s="36" t="str">
        <f aca="false">INDEX(Cronograma!$F$5:$F$16,MATCH(A50,Cronograma!$A$5:$A$16,0))</f>
        <v>Reel</v>
      </c>
      <c r="D50" s="37" t="n">
        <f aca="false">INDEX(Cronograma!$B$5:$B$16,MATCH(A50,Cronograma!$A$5:$A$16,0))</f>
        <v>46330</v>
      </c>
      <c r="E50" s="38" t="s">
        <v>406</v>
      </c>
      <c r="F50" s="36" t="s">
        <v>407</v>
      </c>
      <c r="G50" s="36"/>
      <c r="H50" s="36" t="s">
        <v>408</v>
      </c>
      <c r="I50" s="36"/>
    </row>
    <row r="51" customFormat="false" ht="31.5" hidden="false" customHeight="true" outlineLevel="0" collapsed="false">
      <c r="A51" s="36" t="s">
        <v>62</v>
      </c>
      <c r="B51" s="36" t="str">
        <f aca="false">INDEX(Cronograma!$G$5:$G$16,MATCH(A51,Cronograma!$A$5:$A$16,0))</f>
        <v>Quatro frentes, um cuidado conectado</v>
      </c>
      <c r="C51" s="36" t="str">
        <f aca="false">INDEX(Cronograma!$F$5:$F$16,MATCH(A51,Cronograma!$A$5:$A$16,0))</f>
        <v>Reel</v>
      </c>
      <c r="D51" s="37" t="n">
        <f aca="false">INDEX(Cronograma!$B$5:$B$16,MATCH(A51,Cronograma!$A$5:$A$16,0))</f>
        <v>46330</v>
      </c>
      <c r="E51" s="38" t="s">
        <v>409</v>
      </c>
      <c r="F51" s="36" t="s">
        <v>410</v>
      </c>
      <c r="G51" s="36"/>
      <c r="H51" s="36" t="s">
        <v>411</v>
      </c>
      <c r="I51" s="36"/>
    </row>
    <row r="52" customFormat="false" ht="31.5" hidden="false" customHeight="true" outlineLevel="0" collapsed="false">
      <c r="A52" s="36" t="s">
        <v>62</v>
      </c>
      <c r="B52" s="36" t="str">
        <f aca="false">INDEX(Cronograma!$G$5:$G$16,MATCH(A52,Cronograma!$A$5:$A$16,0))</f>
        <v>Quatro frentes, um cuidado conectado</v>
      </c>
      <c r="C52" s="36" t="str">
        <f aca="false">INDEX(Cronograma!$F$5:$F$16,MATCH(A52,Cronograma!$A$5:$A$16,0))</f>
        <v>Reel</v>
      </c>
      <c r="D52" s="37" t="n">
        <f aca="false">INDEX(Cronograma!$B$5:$B$16,MATCH(A52,Cronograma!$A$5:$A$16,0))</f>
        <v>46330</v>
      </c>
      <c r="E52" s="38" t="s">
        <v>412</v>
      </c>
      <c r="F52" s="36" t="s">
        <v>413</v>
      </c>
      <c r="G52" s="36"/>
      <c r="H52" s="36" t="s">
        <v>414</v>
      </c>
      <c r="I52" s="36"/>
    </row>
    <row r="53" customFormat="false" ht="31.5" hidden="false" customHeight="true" outlineLevel="0" collapsed="false">
      <c r="A53" s="36" t="s">
        <v>62</v>
      </c>
      <c r="B53" s="36" t="str">
        <f aca="false">INDEX(Cronograma!$G$5:$G$16,MATCH(A53,Cronograma!$A$5:$A$16,0))</f>
        <v>Quatro frentes, um cuidado conectado</v>
      </c>
      <c r="C53" s="36" t="str">
        <f aca="false">INDEX(Cronograma!$F$5:$F$16,MATCH(A53,Cronograma!$A$5:$A$16,0))</f>
        <v>Reel</v>
      </c>
      <c r="D53" s="37" t="n">
        <f aca="false">INDEX(Cronograma!$B$5:$B$16,MATCH(A53,Cronograma!$A$5:$A$16,0))</f>
        <v>46330</v>
      </c>
      <c r="E53" s="38" t="s">
        <v>361</v>
      </c>
      <c r="F53" s="36" t="s">
        <v>415</v>
      </c>
      <c r="G53" s="36"/>
      <c r="H53" s="36" t="s">
        <v>416</v>
      </c>
      <c r="I53" s="36"/>
    </row>
    <row r="54" customFormat="false" ht="31.5" hidden="false" customHeight="true" outlineLevel="0" collapsed="false">
      <c r="A54" s="36" t="s">
        <v>62</v>
      </c>
      <c r="B54" s="36" t="str">
        <f aca="false">INDEX(Cronograma!$G$5:$G$16,MATCH(A54,Cronograma!$A$5:$A$16,0))</f>
        <v>Quatro frentes, um cuidado conectado</v>
      </c>
      <c r="C54" s="36" t="str">
        <f aca="false">INDEX(Cronograma!$F$5:$F$16,MATCH(A54,Cronograma!$A$5:$A$16,0))</f>
        <v>Reel</v>
      </c>
      <c r="D54" s="37" t="n">
        <f aca="false">INDEX(Cronograma!$B$5:$B$16,MATCH(A54,Cronograma!$A$5:$A$16,0))</f>
        <v>46330</v>
      </c>
      <c r="E54" s="38" t="s">
        <v>364</v>
      </c>
      <c r="F54" s="36" t="s">
        <v>417</v>
      </c>
      <c r="G54" s="36"/>
      <c r="H54" s="36" t="s">
        <v>418</v>
      </c>
      <c r="I54" s="36"/>
    </row>
    <row r="55" customFormat="false" ht="31.5" hidden="false" customHeight="true" outlineLevel="0" collapsed="false">
      <c r="A55" s="33" t="s">
        <v>64</v>
      </c>
      <c r="B55" s="33" t="str">
        <f aca="false">INDEX(Cronograma!$G$5:$G$16,MATCH(A55,Cronograma!$A$5:$A$16,0))</f>
        <v>Uma história de cuidado que começou em 2009</v>
      </c>
      <c r="C55" s="33" t="str">
        <f aca="false">INDEX(Cronograma!$F$5:$F$16,MATCH(A55,Cronograma!$A$5:$A$16,0))</f>
        <v>Carrossel</v>
      </c>
      <c r="D55" s="34" t="n">
        <f aca="false">INDEX(Cronograma!$B$5:$B$16,MATCH(A55,Cronograma!$A$5:$A$16,0))</f>
        <v>46332</v>
      </c>
      <c r="E55" s="35" t="s">
        <v>298</v>
      </c>
      <c r="F55" s="33" t="s">
        <v>419</v>
      </c>
      <c r="G55" s="33"/>
      <c r="H55" s="33" t="s">
        <v>386</v>
      </c>
      <c r="I55" s="33"/>
    </row>
    <row r="56" customFormat="false" ht="45" hidden="false" customHeight="true" outlineLevel="0" collapsed="false">
      <c r="A56" s="33" t="s">
        <v>64</v>
      </c>
      <c r="B56" s="33" t="str">
        <f aca="false">INDEX(Cronograma!$G$5:$G$16,MATCH(A56,Cronograma!$A$5:$A$16,0))</f>
        <v>Uma história de cuidado que começou em 2009</v>
      </c>
      <c r="C56" s="33" t="str">
        <f aca="false">INDEX(Cronograma!$F$5:$F$16,MATCH(A56,Cronograma!$A$5:$A$16,0))</f>
        <v>Carrossel</v>
      </c>
      <c r="D56" s="34" t="n">
        <f aca="false">INDEX(Cronograma!$B$5:$B$16,MATCH(A56,Cronograma!$A$5:$A$16,0))</f>
        <v>46332</v>
      </c>
      <c r="E56" s="35" t="s">
        <v>320</v>
      </c>
      <c r="F56" s="33" t="s">
        <v>420</v>
      </c>
      <c r="G56" s="33"/>
      <c r="H56" s="33" t="s">
        <v>421</v>
      </c>
      <c r="I56" s="33" t="s">
        <v>422</v>
      </c>
    </row>
    <row r="57" customFormat="false" ht="45" hidden="false" customHeight="true" outlineLevel="0" collapsed="false">
      <c r="A57" s="33" t="s">
        <v>64</v>
      </c>
      <c r="B57" s="33" t="str">
        <f aca="false">INDEX(Cronograma!$G$5:$G$16,MATCH(A57,Cronograma!$A$5:$A$16,0))</f>
        <v>Uma história de cuidado que começou em 2009</v>
      </c>
      <c r="C57" s="33" t="str">
        <f aca="false">INDEX(Cronograma!$F$5:$F$16,MATCH(A57,Cronograma!$A$5:$A$16,0))</f>
        <v>Carrossel</v>
      </c>
      <c r="D57" s="34" t="n">
        <f aca="false">INDEX(Cronograma!$B$5:$B$16,MATCH(A57,Cronograma!$A$5:$A$16,0))</f>
        <v>46332</v>
      </c>
      <c r="E57" s="35" t="s">
        <v>323</v>
      </c>
      <c r="F57" s="33" t="s">
        <v>423</v>
      </c>
      <c r="G57" s="33"/>
      <c r="H57" s="33" t="s">
        <v>386</v>
      </c>
      <c r="I57" s="33" t="s">
        <v>424</v>
      </c>
    </row>
    <row r="58" customFormat="false" ht="45" hidden="false" customHeight="true" outlineLevel="0" collapsed="false">
      <c r="A58" s="33" t="s">
        <v>64</v>
      </c>
      <c r="B58" s="33" t="str">
        <f aca="false">INDEX(Cronograma!$G$5:$G$16,MATCH(A58,Cronograma!$A$5:$A$16,0))</f>
        <v>Uma história de cuidado que começou em 2009</v>
      </c>
      <c r="C58" s="33" t="str">
        <f aca="false">INDEX(Cronograma!$F$5:$F$16,MATCH(A58,Cronograma!$A$5:$A$16,0))</f>
        <v>Carrossel</v>
      </c>
      <c r="D58" s="34" t="n">
        <f aca="false">INDEX(Cronograma!$B$5:$B$16,MATCH(A58,Cronograma!$A$5:$A$16,0))</f>
        <v>46332</v>
      </c>
      <c r="E58" s="35" t="s">
        <v>326</v>
      </c>
      <c r="F58" s="33" t="s">
        <v>425</v>
      </c>
      <c r="G58" s="33"/>
      <c r="H58" s="33" t="s">
        <v>426</v>
      </c>
      <c r="I58" s="33" t="s">
        <v>427</v>
      </c>
    </row>
    <row r="59" customFormat="false" ht="31.5" hidden="false" customHeight="true" outlineLevel="0" collapsed="false">
      <c r="A59" s="33" t="s">
        <v>64</v>
      </c>
      <c r="B59" s="33" t="str">
        <f aca="false">INDEX(Cronograma!$G$5:$G$16,MATCH(A59,Cronograma!$A$5:$A$16,0))</f>
        <v>Uma história de cuidado que começou em 2009</v>
      </c>
      <c r="C59" s="33" t="str">
        <f aca="false">INDEX(Cronograma!$F$5:$F$16,MATCH(A59,Cronograma!$A$5:$A$16,0))</f>
        <v>Carrossel</v>
      </c>
      <c r="D59" s="34" t="n">
        <f aca="false">INDEX(Cronograma!$B$5:$B$16,MATCH(A59,Cronograma!$A$5:$A$16,0))</f>
        <v>46332</v>
      </c>
      <c r="E59" s="35" t="s">
        <v>329</v>
      </c>
      <c r="F59" s="33" t="s">
        <v>428</v>
      </c>
      <c r="G59" s="33"/>
      <c r="H59" s="33" t="s">
        <v>386</v>
      </c>
      <c r="I59" s="33"/>
    </row>
    <row r="60" customFormat="false" ht="45" hidden="false" customHeight="true" outlineLevel="0" collapsed="false">
      <c r="A60" s="33" t="s">
        <v>64</v>
      </c>
      <c r="B60" s="33" t="str">
        <f aca="false">INDEX(Cronograma!$G$5:$G$16,MATCH(A60,Cronograma!$A$5:$A$16,0))</f>
        <v>Uma história de cuidado que começou em 2009</v>
      </c>
      <c r="C60" s="33" t="str">
        <f aca="false">INDEX(Cronograma!$F$5:$F$16,MATCH(A60,Cronograma!$A$5:$A$16,0))</f>
        <v>Carrossel</v>
      </c>
      <c r="D60" s="34" t="n">
        <f aca="false">INDEX(Cronograma!$B$5:$B$16,MATCH(A60,Cronograma!$A$5:$A$16,0))</f>
        <v>46332</v>
      </c>
      <c r="E60" s="35" t="s">
        <v>332</v>
      </c>
      <c r="F60" s="33" t="s">
        <v>429</v>
      </c>
      <c r="G60" s="33"/>
      <c r="H60" s="33" t="s">
        <v>397</v>
      </c>
      <c r="I60" s="33"/>
    </row>
    <row r="61" customFormat="false" ht="45" hidden="false" customHeight="true" outlineLevel="0" collapsed="false">
      <c r="A61" s="33" t="s">
        <v>64</v>
      </c>
      <c r="B61" s="33" t="str">
        <f aca="false">INDEX(Cronograma!$G$5:$G$16,MATCH(A61,Cronograma!$A$5:$A$16,0))</f>
        <v>Uma história de cuidado que começou em 2009</v>
      </c>
      <c r="C61" s="33" t="str">
        <f aca="false">INDEX(Cronograma!$F$5:$F$16,MATCH(A61,Cronograma!$A$5:$A$16,0))</f>
        <v>Carrossel</v>
      </c>
      <c r="D61" s="34" t="n">
        <f aca="false">INDEX(Cronograma!$B$5:$B$16,MATCH(A61,Cronograma!$A$5:$A$16,0))</f>
        <v>46332</v>
      </c>
      <c r="E61" s="35" t="s">
        <v>336</v>
      </c>
      <c r="F61" s="33" t="s">
        <v>430</v>
      </c>
      <c r="G61" s="33"/>
      <c r="H61" s="33" t="s">
        <v>386</v>
      </c>
      <c r="I61" s="33"/>
    </row>
    <row r="62" customFormat="false" ht="31.5" hidden="false" customHeight="true" outlineLevel="0" collapsed="false">
      <c r="A62" s="33" t="s">
        <v>64</v>
      </c>
      <c r="B62" s="33" t="str">
        <f aca="false">INDEX(Cronograma!$G$5:$G$16,MATCH(A62,Cronograma!$A$5:$A$16,0))</f>
        <v>Uma história de cuidado que começou em 2009</v>
      </c>
      <c r="C62" s="33" t="str">
        <f aca="false">INDEX(Cronograma!$F$5:$F$16,MATCH(A62,Cronograma!$A$5:$A$16,0))</f>
        <v>Carrossel</v>
      </c>
      <c r="D62" s="34" t="n">
        <f aca="false">INDEX(Cronograma!$B$5:$B$16,MATCH(A62,Cronograma!$A$5:$A$16,0))</f>
        <v>46332</v>
      </c>
      <c r="E62" s="35" t="s">
        <v>339</v>
      </c>
      <c r="F62" s="33" t="s">
        <v>431</v>
      </c>
      <c r="G62" s="33"/>
      <c r="H62" s="33" t="s">
        <v>432</v>
      </c>
      <c r="I62" s="33"/>
    </row>
    <row r="63" customFormat="false" ht="31.5" hidden="false" customHeight="true" outlineLevel="0" collapsed="false">
      <c r="A63" s="36" t="s">
        <v>67</v>
      </c>
      <c r="B63" s="36" t="str">
        <f aca="false">INDEX(Cronograma!$G$5:$G$16,MATCH(A63,Cronograma!$A$5:$A$16,0))</f>
        <v>Cuidado na prática: experiências e resultados reais</v>
      </c>
      <c r="C63" s="36" t="str">
        <f aca="false">INDEX(Cronograma!$F$5:$F$16,MATCH(A63,Cronograma!$A$5:$A$16,0))</f>
        <v>Reel</v>
      </c>
      <c r="D63" s="37" t="n">
        <f aca="false">INDEX(Cronograma!$B$5:$B$16,MATCH(A63,Cronograma!$A$5:$A$16,0))</f>
        <v>46335</v>
      </c>
      <c r="E63" s="38" t="s">
        <v>276</v>
      </c>
      <c r="F63" s="36" t="s">
        <v>236</v>
      </c>
      <c r="G63" s="36" t="s">
        <v>236</v>
      </c>
      <c r="H63" s="36" t="s">
        <v>433</v>
      </c>
      <c r="I63" s="36" t="s">
        <v>344</v>
      </c>
    </row>
    <row r="64" customFormat="false" ht="45" hidden="false" customHeight="true" outlineLevel="0" collapsed="false">
      <c r="A64" s="36" t="s">
        <v>67</v>
      </c>
      <c r="B64" s="36" t="str">
        <f aca="false">INDEX(Cronograma!$G$5:$G$16,MATCH(A64,Cronograma!$A$5:$A$16,0))</f>
        <v>Cuidado na prática: experiências e resultados reais</v>
      </c>
      <c r="C64" s="36" t="str">
        <f aca="false">INDEX(Cronograma!$F$5:$F$16,MATCH(A64,Cronograma!$A$5:$A$16,0))</f>
        <v>Reel</v>
      </c>
      <c r="D64" s="37" t="n">
        <f aca="false">INDEX(Cronograma!$B$5:$B$16,MATCH(A64,Cronograma!$A$5:$A$16,0))</f>
        <v>46335</v>
      </c>
      <c r="E64" s="38" t="s">
        <v>280</v>
      </c>
      <c r="F64" s="36" t="s">
        <v>434</v>
      </c>
      <c r="G64" s="36" t="s">
        <v>435</v>
      </c>
      <c r="H64" s="36" t="s">
        <v>436</v>
      </c>
      <c r="I64" s="36"/>
    </row>
    <row r="65" customFormat="false" ht="18.75" hidden="false" customHeight="true" outlineLevel="0" collapsed="false">
      <c r="A65" s="36" t="s">
        <v>67</v>
      </c>
      <c r="B65" s="36" t="str">
        <f aca="false">INDEX(Cronograma!$G$5:$G$16,MATCH(A65,Cronograma!$A$5:$A$16,0))</f>
        <v>Cuidado na prática: experiências e resultados reais</v>
      </c>
      <c r="C65" s="36" t="str">
        <f aca="false">INDEX(Cronograma!$F$5:$F$16,MATCH(A65,Cronograma!$A$5:$A$16,0))</f>
        <v>Reel</v>
      </c>
      <c r="D65" s="37" t="n">
        <f aca="false">INDEX(Cronograma!$B$5:$B$16,MATCH(A65,Cronograma!$A$5:$A$16,0))</f>
        <v>46335</v>
      </c>
      <c r="E65" s="38" t="s">
        <v>437</v>
      </c>
      <c r="F65" s="36" t="s">
        <v>438</v>
      </c>
      <c r="G65" s="36" t="s">
        <v>439</v>
      </c>
      <c r="H65" s="36" t="s">
        <v>440</v>
      </c>
      <c r="I65" s="36"/>
    </row>
    <row r="66" customFormat="false" ht="45" hidden="false" customHeight="true" outlineLevel="0" collapsed="false">
      <c r="A66" s="36" t="s">
        <v>67</v>
      </c>
      <c r="B66" s="36" t="str">
        <f aca="false">INDEX(Cronograma!$G$5:$G$16,MATCH(A66,Cronograma!$A$5:$A$16,0))</f>
        <v>Cuidado na prática: experiências e resultados reais</v>
      </c>
      <c r="C66" s="36" t="str">
        <f aca="false">INDEX(Cronograma!$F$5:$F$16,MATCH(A66,Cronograma!$A$5:$A$16,0))</f>
        <v>Reel</v>
      </c>
      <c r="D66" s="37" t="n">
        <f aca="false">INDEX(Cronograma!$B$5:$B$16,MATCH(A66,Cronograma!$A$5:$A$16,0))</f>
        <v>46335</v>
      </c>
      <c r="E66" s="38" t="s">
        <v>441</v>
      </c>
      <c r="F66" s="36" t="s">
        <v>442</v>
      </c>
      <c r="G66" s="36" t="s">
        <v>443</v>
      </c>
      <c r="H66" s="36" t="s">
        <v>444</v>
      </c>
      <c r="I66" s="36"/>
    </row>
    <row r="67" customFormat="false" ht="31.5" hidden="false" customHeight="true" outlineLevel="0" collapsed="false">
      <c r="A67" s="36" t="s">
        <v>67</v>
      </c>
      <c r="B67" s="36" t="str">
        <f aca="false">INDEX(Cronograma!$G$5:$G$16,MATCH(A67,Cronograma!$A$5:$A$16,0))</f>
        <v>Cuidado na prática: experiências e resultados reais</v>
      </c>
      <c r="C67" s="36" t="str">
        <f aca="false">INDEX(Cronograma!$F$5:$F$16,MATCH(A67,Cronograma!$A$5:$A$16,0))</f>
        <v>Reel</v>
      </c>
      <c r="D67" s="37" t="n">
        <f aca="false">INDEX(Cronograma!$B$5:$B$16,MATCH(A67,Cronograma!$A$5:$A$16,0))</f>
        <v>46335</v>
      </c>
      <c r="E67" s="38" t="s">
        <v>293</v>
      </c>
      <c r="F67" s="36" t="s">
        <v>445</v>
      </c>
      <c r="G67" s="36" t="s">
        <v>446</v>
      </c>
      <c r="H67" s="36" t="s">
        <v>447</v>
      </c>
      <c r="I67" s="36" t="s">
        <v>448</v>
      </c>
    </row>
    <row r="68" customFormat="false" ht="18.75" hidden="false" customHeight="true" outlineLevel="0" collapsed="false">
      <c r="A68" s="33" t="s">
        <v>69</v>
      </c>
      <c r="B68" s="33" t="str">
        <f aca="false">INDEX(Cronograma!$G$5:$G$16,MATCH(A68,Cronograma!$A$5:$A$16,0))</f>
        <v>Estilo de vida também é tratamento sério</v>
      </c>
      <c r="C68" s="33" t="str">
        <f aca="false">INDEX(Cronograma!$F$5:$F$16,MATCH(A68,Cronograma!$A$5:$A$16,0))</f>
        <v>Carrossel</v>
      </c>
      <c r="D68" s="34" t="n">
        <f aca="false">INDEX(Cronograma!$B$5:$B$16,MATCH(A68,Cronograma!$A$5:$A$16,0))</f>
        <v>46337</v>
      </c>
      <c r="E68" s="35" t="s">
        <v>298</v>
      </c>
      <c r="F68" s="33" t="s">
        <v>247</v>
      </c>
      <c r="G68" s="33"/>
      <c r="H68" s="33" t="s">
        <v>386</v>
      </c>
      <c r="I68" s="33"/>
    </row>
    <row r="69" customFormat="false" ht="45" hidden="false" customHeight="true" outlineLevel="0" collapsed="false">
      <c r="A69" s="33" t="s">
        <v>69</v>
      </c>
      <c r="B69" s="33" t="str">
        <f aca="false">INDEX(Cronograma!$G$5:$G$16,MATCH(A69,Cronograma!$A$5:$A$16,0))</f>
        <v>Estilo de vida também é tratamento sério</v>
      </c>
      <c r="C69" s="33" t="str">
        <f aca="false">INDEX(Cronograma!$F$5:$F$16,MATCH(A69,Cronograma!$A$5:$A$16,0))</f>
        <v>Carrossel</v>
      </c>
      <c r="D69" s="34" t="n">
        <f aca="false">INDEX(Cronograma!$B$5:$B$16,MATCH(A69,Cronograma!$A$5:$A$16,0))</f>
        <v>46337</v>
      </c>
      <c r="E69" s="35" t="s">
        <v>320</v>
      </c>
      <c r="F69" s="33" t="s">
        <v>449</v>
      </c>
      <c r="G69" s="33"/>
      <c r="H69" s="33" t="s">
        <v>397</v>
      </c>
      <c r="I69" s="33"/>
    </row>
    <row r="70" customFormat="false" ht="31.5" hidden="false" customHeight="true" outlineLevel="0" collapsed="false">
      <c r="A70" s="33" t="s">
        <v>69</v>
      </c>
      <c r="B70" s="33" t="str">
        <f aca="false">INDEX(Cronograma!$G$5:$G$16,MATCH(A70,Cronograma!$A$5:$A$16,0))</f>
        <v>Estilo de vida também é tratamento sério</v>
      </c>
      <c r="C70" s="33" t="str">
        <f aca="false">INDEX(Cronograma!$F$5:$F$16,MATCH(A70,Cronograma!$A$5:$A$16,0))</f>
        <v>Carrossel</v>
      </c>
      <c r="D70" s="34" t="n">
        <f aca="false">INDEX(Cronograma!$B$5:$B$16,MATCH(A70,Cronograma!$A$5:$A$16,0))</f>
        <v>46337</v>
      </c>
      <c r="E70" s="35" t="s">
        <v>323</v>
      </c>
      <c r="F70" s="33" t="s">
        <v>450</v>
      </c>
      <c r="G70" s="33"/>
      <c r="H70" s="33" t="s">
        <v>386</v>
      </c>
      <c r="I70" s="33"/>
    </row>
    <row r="71" customFormat="false" ht="45" hidden="false" customHeight="true" outlineLevel="0" collapsed="false">
      <c r="A71" s="33" t="s">
        <v>69</v>
      </c>
      <c r="B71" s="33" t="str">
        <f aca="false">INDEX(Cronograma!$G$5:$G$16,MATCH(A71,Cronograma!$A$5:$A$16,0))</f>
        <v>Estilo de vida também é tratamento sério</v>
      </c>
      <c r="C71" s="33" t="str">
        <f aca="false">INDEX(Cronograma!$F$5:$F$16,MATCH(A71,Cronograma!$A$5:$A$16,0))</f>
        <v>Carrossel</v>
      </c>
      <c r="D71" s="34" t="n">
        <f aca="false">INDEX(Cronograma!$B$5:$B$16,MATCH(A71,Cronograma!$A$5:$A$16,0))</f>
        <v>46337</v>
      </c>
      <c r="E71" s="35" t="s">
        <v>326</v>
      </c>
      <c r="F71" s="33" t="s">
        <v>451</v>
      </c>
      <c r="G71" s="33"/>
      <c r="H71" s="33" t="s">
        <v>452</v>
      </c>
      <c r="I71" s="33"/>
    </row>
    <row r="72" customFormat="false" ht="18.75" hidden="false" customHeight="true" outlineLevel="0" collapsed="false">
      <c r="A72" s="33" t="s">
        <v>69</v>
      </c>
      <c r="B72" s="33" t="str">
        <f aca="false">INDEX(Cronograma!$G$5:$G$16,MATCH(A72,Cronograma!$A$5:$A$16,0))</f>
        <v>Estilo de vida também é tratamento sério</v>
      </c>
      <c r="C72" s="33" t="str">
        <f aca="false">INDEX(Cronograma!$F$5:$F$16,MATCH(A72,Cronograma!$A$5:$A$16,0))</f>
        <v>Carrossel</v>
      </c>
      <c r="D72" s="34" t="n">
        <f aca="false">INDEX(Cronograma!$B$5:$B$16,MATCH(A72,Cronograma!$A$5:$A$16,0))</f>
        <v>46337</v>
      </c>
      <c r="E72" s="35" t="s">
        <v>329</v>
      </c>
      <c r="F72" s="33" t="s">
        <v>453</v>
      </c>
      <c r="G72" s="33"/>
      <c r="H72" s="33" t="s">
        <v>454</v>
      </c>
      <c r="I72" s="33"/>
    </row>
    <row r="73" customFormat="false" ht="45" hidden="false" customHeight="true" outlineLevel="0" collapsed="false">
      <c r="A73" s="33" t="s">
        <v>69</v>
      </c>
      <c r="B73" s="33" t="str">
        <f aca="false">INDEX(Cronograma!$G$5:$G$16,MATCH(A73,Cronograma!$A$5:$A$16,0))</f>
        <v>Estilo de vida também é tratamento sério</v>
      </c>
      <c r="C73" s="33" t="str">
        <f aca="false">INDEX(Cronograma!$F$5:$F$16,MATCH(A73,Cronograma!$A$5:$A$16,0))</f>
        <v>Carrossel</v>
      </c>
      <c r="D73" s="34" t="n">
        <f aca="false">INDEX(Cronograma!$B$5:$B$16,MATCH(A73,Cronograma!$A$5:$A$16,0))</f>
        <v>46337</v>
      </c>
      <c r="E73" s="35" t="s">
        <v>332</v>
      </c>
      <c r="F73" s="33" t="s">
        <v>455</v>
      </c>
      <c r="G73" s="33"/>
      <c r="H73" s="33" t="s">
        <v>386</v>
      </c>
      <c r="I73" s="33"/>
    </row>
    <row r="74" customFormat="false" ht="45" hidden="false" customHeight="true" outlineLevel="0" collapsed="false">
      <c r="A74" s="33" t="s">
        <v>69</v>
      </c>
      <c r="B74" s="33" t="str">
        <f aca="false">INDEX(Cronograma!$G$5:$G$16,MATCH(A74,Cronograma!$A$5:$A$16,0))</f>
        <v>Estilo de vida também é tratamento sério</v>
      </c>
      <c r="C74" s="33" t="str">
        <f aca="false">INDEX(Cronograma!$F$5:$F$16,MATCH(A74,Cronograma!$A$5:$A$16,0))</f>
        <v>Carrossel</v>
      </c>
      <c r="D74" s="34" t="n">
        <f aca="false">INDEX(Cronograma!$B$5:$B$16,MATCH(A74,Cronograma!$A$5:$A$16,0))</f>
        <v>46337</v>
      </c>
      <c r="E74" s="35" t="s">
        <v>383</v>
      </c>
      <c r="F74" s="33" t="s">
        <v>456</v>
      </c>
      <c r="G74" s="33"/>
      <c r="H74" s="33" t="s">
        <v>457</v>
      </c>
      <c r="I74" s="33"/>
    </row>
    <row r="75" customFormat="false" ht="18.75" hidden="false" customHeight="true" outlineLevel="0" collapsed="false">
      <c r="A75" s="36" t="s">
        <v>72</v>
      </c>
      <c r="B75" s="36" t="str">
        <f aca="false">INDEX(Cronograma!$G$5:$G$16,MATCH(A75,Cronograma!$A$5:$A$16,0))</f>
        <v>Como levar a FairHealth para sua empresa?</v>
      </c>
      <c r="C75" s="36" t="str">
        <f aca="false">INDEX(Cronograma!$F$5:$F$16,MATCH(A75,Cronograma!$A$5:$A$16,0))</f>
        <v>Carrossel</v>
      </c>
      <c r="D75" s="37" t="n">
        <f aca="false">INDEX(Cronograma!$B$5:$B$16,MATCH(A75,Cronograma!$A$5:$A$16,0))</f>
        <v>46339</v>
      </c>
      <c r="E75" s="38" t="s">
        <v>298</v>
      </c>
      <c r="F75" s="36" t="s">
        <v>259</v>
      </c>
      <c r="G75" s="36"/>
      <c r="H75" s="36" t="s">
        <v>386</v>
      </c>
      <c r="I75" s="36"/>
    </row>
    <row r="76" customFormat="false" ht="45" hidden="false" customHeight="true" outlineLevel="0" collapsed="false">
      <c r="A76" s="36" t="s">
        <v>72</v>
      </c>
      <c r="B76" s="36" t="str">
        <f aca="false">INDEX(Cronograma!$G$5:$G$16,MATCH(A76,Cronograma!$A$5:$A$16,0))</f>
        <v>Como levar a FairHealth para sua empresa?</v>
      </c>
      <c r="C76" s="36" t="str">
        <f aca="false">INDEX(Cronograma!$F$5:$F$16,MATCH(A76,Cronograma!$A$5:$A$16,0))</f>
        <v>Carrossel</v>
      </c>
      <c r="D76" s="37" t="n">
        <f aca="false">INDEX(Cronograma!$B$5:$B$16,MATCH(A76,Cronograma!$A$5:$A$16,0))</f>
        <v>46339</v>
      </c>
      <c r="E76" s="38" t="s">
        <v>320</v>
      </c>
      <c r="F76" s="36" t="s">
        <v>458</v>
      </c>
      <c r="G76" s="36"/>
      <c r="H76" s="36" t="s">
        <v>459</v>
      </c>
      <c r="I76" s="36" t="s">
        <v>460</v>
      </c>
    </row>
    <row r="77" customFormat="false" ht="45" hidden="false" customHeight="true" outlineLevel="0" collapsed="false">
      <c r="A77" s="36" t="s">
        <v>72</v>
      </c>
      <c r="B77" s="36" t="str">
        <f aca="false">INDEX(Cronograma!$G$5:$G$16,MATCH(A77,Cronograma!$A$5:$A$16,0))</f>
        <v>Como levar a FairHealth para sua empresa?</v>
      </c>
      <c r="C77" s="36" t="str">
        <f aca="false">INDEX(Cronograma!$F$5:$F$16,MATCH(A77,Cronograma!$A$5:$A$16,0))</f>
        <v>Carrossel</v>
      </c>
      <c r="D77" s="37" t="n">
        <f aca="false">INDEX(Cronograma!$B$5:$B$16,MATCH(A77,Cronograma!$A$5:$A$16,0))</f>
        <v>46339</v>
      </c>
      <c r="E77" s="38" t="s">
        <v>323</v>
      </c>
      <c r="F77" s="36" t="s">
        <v>461</v>
      </c>
      <c r="G77" s="36"/>
      <c r="H77" s="36" t="s">
        <v>386</v>
      </c>
      <c r="I77" s="36" t="s">
        <v>462</v>
      </c>
    </row>
    <row r="78" customFormat="false" ht="31.5" hidden="false" customHeight="true" outlineLevel="0" collapsed="false">
      <c r="A78" s="36" t="s">
        <v>72</v>
      </c>
      <c r="B78" s="36" t="str">
        <f aca="false">INDEX(Cronograma!$G$5:$G$16,MATCH(A78,Cronograma!$A$5:$A$16,0))</f>
        <v>Como levar a FairHealth para sua empresa?</v>
      </c>
      <c r="C78" s="36" t="str">
        <f aca="false">INDEX(Cronograma!$F$5:$F$16,MATCH(A78,Cronograma!$A$5:$A$16,0))</f>
        <v>Carrossel</v>
      </c>
      <c r="D78" s="37" t="n">
        <f aca="false">INDEX(Cronograma!$B$5:$B$16,MATCH(A78,Cronograma!$A$5:$A$16,0))</f>
        <v>46339</v>
      </c>
      <c r="E78" s="38" t="s">
        <v>326</v>
      </c>
      <c r="F78" s="36" t="s">
        <v>463</v>
      </c>
      <c r="G78" s="36"/>
      <c r="H78" s="36" t="s">
        <v>397</v>
      </c>
      <c r="I78" s="36"/>
    </row>
    <row r="79" customFormat="false" ht="31.5" hidden="false" customHeight="true" outlineLevel="0" collapsed="false">
      <c r="A79" s="36" t="s">
        <v>72</v>
      </c>
      <c r="B79" s="36" t="str">
        <f aca="false">INDEX(Cronograma!$G$5:$G$16,MATCH(A79,Cronograma!$A$5:$A$16,0))</f>
        <v>Como levar a FairHealth para sua empresa?</v>
      </c>
      <c r="C79" s="36" t="str">
        <f aca="false">INDEX(Cronograma!$F$5:$F$16,MATCH(A79,Cronograma!$A$5:$A$16,0))</f>
        <v>Carrossel</v>
      </c>
      <c r="D79" s="37" t="n">
        <f aca="false">INDEX(Cronograma!$B$5:$B$16,MATCH(A79,Cronograma!$A$5:$A$16,0))</f>
        <v>46339</v>
      </c>
      <c r="E79" s="38" t="s">
        <v>329</v>
      </c>
      <c r="F79" s="36" t="s">
        <v>464</v>
      </c>
      <c r="G79" s="36"/>
      <c r="H79" s="36" t="s">
        <v>386</v>
      </c>
      <c r="I79" s="36"/>
    </row>
    <row r="80" customFormat="false" ht="45" hidden="false" customHeight="true" outlineLevel="0" collapsed="false">
      <c r="A80" s="36" t="s">
        <v>72</v>
      </c>
      <c r="B80" s="36" t="str">
        <f aca="false">INDEX(Cronograma!$G$5:$G$16,MATCH(A80,Cronograma!$A$5:$A$16,0))</f>
        <v>Como levar a FairHealth para sua empresa?</v>
      </c>
      <c r="C80" s="36" t="str">
        <f aca="false">INDEX(Cronograma!$F$5:$F$16,MATCH(A80,Cronograma!$A$5:$A$16,0))</f>
        <v>Carrossel</v>
      </c>
      <c r="D80" s="37" t="n">
        <f aca="false">INDEX(Cronograma!$B$5:$B$16,MATCH(A80,Cronograma!$A$5:$A$16,0))</f>
        <v>46339</v>
      </c>
      <c r="E80" s="38" t="s">
        <v>465</v>
      </c>
      <c r="F80" s="36" t="s">
        <v>466</v>
      </c>
      <c r="G80" s="36"/>
      <c r="H80" s="36" t="s">
        <v>467</v>
      </c>
      <c r="I80" s="3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36"/>
    <col collapsed="false" customWidth="true" hidden="false" outlineLevel="0" max="3" min="3" style="0" width="60"/>
    <col collapsed="false" customWidth="true" hidden="false" outlineLevel="0" max="4" min="4" style="0" width="18"/>
    <col collapsed="false" customWidth="true" hidden="false" outlineLevel="0" max="5" min="5" style="0" width="10"/>
    <col collapsed="false" customWidth="true" hidden="false" outlineLevel="0" max="7" min="6" style="0" width="12"/>
  </cols>
  <sheetData>
    <row r="1" customFormat="false" ht="17.35" hidden="false" customHeight="false" outlineLevel="0" collapsed="false">
      <c r="A1" s="4" t="s">
        <v>468</v>
      </c>
    </row>
    <row r="2" customFormat="false" ht="15" hidden="false" customHeight="false" outlineLevel="0" collapsed="false">
      <c r="A2" s="21" t="s">
        <v>469</v>
      </c>
    </row>
    <row r="4" customFormat="false" ht="30" hidden="false" customHeight="true" outlineLevel="0" collapsed="false">
      <c r="A4" s="12" t="s">
        <v>31</v>
      </c>
      <c r="B4" s="12" t="s">
        <v>470</v>
      </c>
      <c r="C4" s="12" t="s">
        <v>471</v>
      </c>
      <c r="D4" s="12" t="s">
        <v>472</v>
      </c>
      <c r="E4" s="12" t="s">
        <v>473</v>
      </c>
      <c r="F4" s="12" t="s">
        <v>474</v>
      </c>
      <c r="G4" s="12" t="s">
        <v>475</v>
      </c>
    </row>
    <row r="5" customFormat="false" ht="45" hidden="false" customHeight="true" outlineLevel="0" collapsed="false">
      <c r="A5" s="39" t="s">
        <v>40</v>
      </c>
      <c r="B5" s="30" t="s">
        <v>476</v>
      </c>
      <c r="C5" s="30" t="s">
        <v>477</v>
      </c>
      <c r="D5" s="30" t="s">
        <v>478</v>
      </c>
      <c r="E5" s="30" t="n">
        <f aca="false">COUNTIF(Cronograma!$E$5:$E$16,A5)</f>
        <v>2</v>
      </c>
      <c r="F5" s="31" t="n">
        <f aca="false">_xlfn.MINIFS(Cronograma!$B$5:$B$16,Cronograma!$E$5:$E$16,A5)</f>
        <v>46314</v>
      </c>
      <c r="G5" s="31" t="n">
        <f aca="false">_xlfn.MAXIFS(Cronograma!$B$5:$B$16,Cronograma!$E$5:$E$16,A5)</f>
        <v>46316</v>
      </c>
    </row>
    <row r="6" customFormat="false" ht="45" hidden="false" customHeight="true" outlineLevel="0" collapsed="false">
      <c r="A6" s="39" t="s">
        <v>49</v>
      </c>
      <c r="B6" s="30" t="s">
        <v>479</v>
      </c>
      <c r="C6" s="30" t="s">
        <v>480</v>
      </c>
      <c r="D6" s="30" t="s">
        <v>481</v>
      </c>
      <c r="E6" s="30" t="n">
        <f aca="false">COUNTIF(Cronograma!$E$5:$E$16,A6)</f>
        <v>4</v>
      </c>
      <c r="F6" s="31" t="n">
        <f aca="false">_xlfn.MINIFS(Cronograma!$B$5:$B$16,Cronograma!$E$5:$E$16,A6)</f>
        <v>46318</v>
      </c>
      <c r="G6" s="31" t="n">
        <f aca="false">_xlfn.MAXIFS(Cronograma!$B$5:$B$16,Cronograma!$E$5:$E$16,A6)</f>
        <v>46325</v>
      </c>
    </row>
    <row r="7" customFormat="false" ht="31.5" hidden="false" customHeight="true" outlineLevel="0" collapsed="false">
      <c r="A7" s="39" t="s">
        <v>59</v>
      </c>
      <c r="B7" s="30" t="s">
        <v>482</v>
      </c>
      <c r="C7" s="30" t="s">
        <v>483</v>
      </c>
      <c r="D7" s="30" t="s">
        <v>484</v>
      </c>
      <c r="E7" s="30" t="n">
        <f aca="false">COUNTIF(Cronograma!$E$5:$E$16,A7)</f>
        <v>2</v>
      </c>
      <c r="F7" s="31" t="n">
        <f aca="false">_xlfn.MINIFS(Cronograma!$B$5:$B$16,Cronograma!$E$5:$E$16,A7)</f>
        <v>46329</v>
      </c>
      <c r="G7" s="31" t="n">
        <f aca="false">_xlfn.MAXIFS(Cronograma!$B$5:$B$16,Cronograma!$E$5:$E$16,A7)</f>
        <v>46330</v>
      </c>
    </row>
    <row r="8" customFormat="false" ht="31.5" hidden="false" customHeight="true" outlineLevel="0" collapsed="false">
      <c r="A8" s="39" t="s">
        <v>65</v>
      </c>
      <c r="B8" s="30" t="s">
        <v>485</v>
      </c>
      <c r="C8" s="30" t="s">
        <v>486</v>
      </c>
      <c r="D8" s="30" t="s">
        <v>487</v>
      </c>
      <c r="E8" s="30" t="n">
        <f aca="false">COUNTIF(Cronograma!$E$5:$E$16,A8)</f>
        <v>4</v>
      </c>
      <c r="F8" s="31" t="n">
        <f aca="false">_xlfn.MINIFS(Cronograma!$B$5:$B$16,Cronograma!$E$5:$E$16,A8)</f>
        <v>46332</v>
      </c>
      <c r="G8" s="31" t="n">
        <f aca="false">_xlfn.MAXIFS(Cronograma!$B$5:$B$16,Cronograma!$E$5:$E$16,A8)</f>
        <v>46339</v>
      </c>
    </row>
    <row r="10" customFormat="false" ht="15" hidden="false" customHeight="false" outlineLevel="0" collapsed="false">
      <c r="A10" s="21" t="s">
        <v>488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70"/>
    <col collapsed="false" customWidth="true" hidden="false" outlineLevel="0" max="4" min="4" style="0" width="28"/>
    <col collapsed="false" customWidth="true" hidden="false" outlineLevel="0" max="5" min="5" style="0" width="12"/>
    <col collapsed="false" customWidth="true" hidden="false" outlineLevel="0" max="6" min="6" style="0" width="32"/>
  </cols>
  <sheetData>
    <row r="1" customFormat="false" ht="17.35" hidden="false" customHeight="false" outlineLevel="0" collapsed="false">
      <c r="A1" s="4" t="s">
        <v>489</v>
      </c>
    </row>
    <row r="2" customFormat="false" ht="15" hidden="false" customHeight="false" outlineLevel="0" collapsed="false">
      <c r="A2" s="21" t="s">
        <v>490</v>
      </c>
    </row>
    <row r="4" customFormat="false" ht="30" hidden="false" customHeight="true" outlineLevel="0" collapsed="false">
      <c r="A4" s="12" t="s">
        <v>491</v>
      </c>
      <c r="B4" s="12" t="s">
        <v>270</v>
      </c>
      <c r="C4" s="12" t="s">
        <v>492</v>
      </c>
      <c r="D4" s="12" t="s">
        <v>493</v>
      </c>
      <c r="E4" s="12" t="s">
        <v>494</v>
      </c>
      <c r="F4" s="12" t="s">
        <v>275</v>
      </c>
    </row>
    <row r="5" customFormat="false" ht="31.5" hidden="false" customHeight="true" outlineLevel="0" collapsed="false">
      <c r="A5" s="30" t="n">
        <v>1</v>
      </c>
      <c r="B5" s="30" t="s">
        <v>495</v>
      </c>
      <c r="C5" s="30" t="s">
        <v>496</v>
      </c>
      <c r="D5" s="30" t="s">
        <v>497</v>
      </c>
      <c r="E5" s="30" t="s">
        <v>498</v>
      </c>
      <c r="F5" s="33"/>
    </row>
    <row r="6" customFormat="false" ht="31.5" hidden="false" customHeight="true" outlineLevel="0" collapsed="false">
      <c r="A6" s="30" t="n">
        <v>2</v>
      </c>
      <c r="B6" s="30" t="s">
        <v>44</v>
      </c>
      <c r="C6" s="30" t="s">
        <v>499</v>
      </c>
      <c r="D6" s="30" t="s">
        <v>500</v>
      </c>
      <c r="E6" s="30" t="s">
        <v>498</v>
      </c>
      <c r="F6" s="33"/>
    </row>
    <row r="7" customFormat="false" ht="31.5" hidden="false" customHeight="true" outlineLevel="0" collapsed="false">
      <c r="A7" s="30" t="n">
        <v>3</v>
      </c>
      <c r="B7" s="30" t="s">
        <v>51</v>
      </c>
      <c r="C7" s="30" t="s">
        <v>501</v>
      </c>
      <c r="D7" s="30" t="s">
        <v>502</v>
      </c>
      <c r="E7" s="30" t="s">
        <v>498</v>
      </c>
      <c r="F7" s="33"/>
    </row>
    <row r="8" customFormat="false" ht="31.5" hidden="false" customHeight="true" outlineLevel="0" collapsed="false">
      <c r="A8" s="30" t="n">
        <v>4</v>
      </c>
      <c r="B8" s="30" t="s">
        <v>53</v>
      </c>
      <c r="C8" s="30" t="s">
        <v>503</v>
      </c>
      <c r="D8" s="30" t="s">
        <v>504</v>
      </c>
      <c r="E8" s="30" t="s">
        <v>498</v>
      </c>
      <c r="F8" s="33"/>
    </row>
    <row r="9" customFormat="false" ht="18.75" hidden="false" customHeight="true" outlineLevel="0" collapsed="false">
      <c r="A9" s="30" t="n">
        <v>5</v>
      </c>
      <c r="B9" s="30" t="s">
        <v>56</v>
      </c>
      <c r="C9" s="30" t="s">
        <v>505</v>
      </c>
      <c r="D9" s="30" t="s">
        <v>506</v>
      </c>
      <c r="E9" s="30" t="s">
        <v>498</v>
      </c>
      <c r="F9" s="33"/>
    </row>
    <row r="10" customFormat="false" ht="31.5" hidden="false" customHeight="true" outlineLevel="0" collapsed="false">
      <c r="A10" s="30" t="n">
        <v>6</v>
      </c>
      <c r="B10" s="30" t="s">
        <v>58</v>
      </c>
      <c r="C10" s="30" t="s">
        <v>507</v>
      </c>
      <c r="D10" s="30" t="s">
        <v>508</v>
      </c>
      <c r="E10" s="30" t="s">
        <v>498</v>
      </c>
      <c r="F10" s="33"/>
    </row>
    <row r="11" customFormat="false" ht="31.5" hidden="false" customHeight="true" outlineLevel="0" collapsed="false">
      <c r="A11" s="30" t="n">
        <v>7</v>
      </c>
      <c r="B11" s="30" t="s">
        <v>64</v>
      </c>
      <c r="C11" s="30" t="s">
        <v>509</v>
      </c>
      <c r="D11" s="30" t="s">
        <v>500</v>
      </c>
      <c r="E11" s="30" t="s">
        <v>498</v>
      </c>
      <c r="F11" s="33"/>
    </row>
    <row r="12" customFormat="false" ht="31.5" hidden="false" customHeight="true" outlineLevel="0" collapsed="false">
      <c r="A12" s="30" t="n">
        <v>8</v>
      </c>
      <c r="B12" s="30" t="s">
        <v>67</v>
      </c>
      <c r="C12" s="30" t="s">
        <v>510</v>
      </c>
      <c r="D12" s="30" t="s">
        <v>511</v>
      </c>
      <c r="E12" s="30" t="s">
        <v>498</v>
      </c>
      <c r="F12" s="33"/>
    </row>
    <row r="13" customFormat="false" ht="31.5" hidden="false" customHeight="true" outlineLevel="0" collapsed="false">
      <c r="A13" s="30" t="n">
        <v>9</v>
      </c>
      <c r="B13" s="30" t="s">
        <v>69</v>
      </c>
      <c r="C13" s="30" t="s">
        <v>512</v>
      </c>
      <c r="D13" s="30" t="s">
        <v>513</v>
      </c>
      <c r="E13" s="30" t="s">
        <v>498</v>
      </c>
      <c r="F13" s="33"/>
    </row>
    <row r="14" customFormat="false" ht="18.75" hidden="false" customHeight="true" outlineLevel="0" collapsed="false">
      <c r="A14" s="30" t="n">
        <v>10</v>
      </c>
      <c r="B14" s="30" t="s">
        <v>72</v>
      </c>
      <c r="C14" s="30" t="s">
        <v>514</v>
      </c>
      <c r="D14" s="30" t="s">
        <v>502</v>
      </c>
      <c r="E14" s="30" t="s">
        <v>498</v>
      </c>
      <c r="F14" s="33"/>
    </row>
    <row r="15" customFormat="false" ht="18.75" hidden="false" customHeight="true" outlineLevel="0" collapsed="false">
      <c r="A15" s="30" t="n">
        <v>11</v>
      </c>
      <c r="B15" s="30" t="s">
        <v>515</v>
      </c>
      <c r="C15" s="30" t="s">
        <v>516</v>
      </c>
      <c r="D15" s="30" t="s">
        <v>502</v>
      </c>
      <c r="E15" s="30" t="s">
        <v>498</v>
      </c>
      <c r="F15" s="33"/>
    </row>
    <row r="17" customFormat="false" ht="15" hidden="false" customHeight="false" outlineLevel="0" collapsed="false">
      <c r="B17" s="20" t="s">
        <v>517</v>
      </c>
      <c r="C17" s="19" t="n">
        <f aca="false">COUNTIF(E5:E15,"Aberta")</f>
        <v>11</v>
      </c>
    </row>
  </sheetData>
  <conditionalFormatting sqref="E5:E15">
    <cfRule type="cellIs" priority="2" operator="equal" aboveAverage="0" equalAverage="0" bottom="0" percent="0" rank="0" text="" dxfId="5">
      <formula>"Resolvida"</formula>
    </cfRule>
  </conditionalFormatting>
  <dataValidations count="1">
    <dataValidation allowBlank="true" errorStyle="stop" operator="between" showDropDown="false" showErrorMessage="false" showInputMessage="false" sqref="E5:E15" type="list">
      <formula1>Listas!$J$3:$J$4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
    <col collapsed="false" customWidth="true" hidden="false" outlineLevel="0" max="4" min="4" style="0" width="14"/>
    <col collapsed="false" customWidth="true" hidden="false" outlineLevel="0" max="5" min="5" style="0" width="30"/>
    <col collapsed="false" customWidth="true" hidden="false" outlineLevel="0" max="6" min="6" style="0" width="3"/>
    <col collapsed="false" customWidth="true" hidden="false" outlineLevel="0" max="7" min="7" style="0" width="14"/>
    <col collapsed="false" customWidth="true" hidden="false" outlineLevel="0" max="9" min="8" style="0" width="20"/>
    <col collapsed="false" customWidth="true" hidden="false" outlineLevel="0" max="10" min="10" style="0" width="12"/>
  </cols>
  <sheetData>
    <row r="1" customFormat="false" ht="17.35" hidden="false" customHeight="false" outlineLevel="0" collapsed="false">
      <c r="A1" s="4" t="s">
        <v>518</v>
      </c>
    </row>
    <row r="2" customFormat="false" ht="15" hidden="false" customHeight="false" outlineLevel="0" collapsed="false">
      <c r="A2" s="40" t="s">
        <v>519</v>
      </c>
      <c r="D2" s="40" t="s">
        <v>520</v>
      </c>
      <c r="G2" s="40" t="s">
        <v>521</v>
      </c>
      <c r="H2" s="40" t="s">
        <v>37</v>
      </c>
      <c r="I2" s="40" t="s">
        <v>522</v>
      </c>
      <c r="J2" s="40" t="s">
        <v>494</v>
      </c>
    </row>
    <row r="3" customFormat="false" ht="15" hidden="false" customHeight="false" outlineLevel="0" collapsed="false">
      <c r="A3" s="41" t="n">
        <v>46307</v>
      </c>
      <c r="B3" s="20" t="s">
        <v>523</v>
      </c>
      <c r="C3" s="20"/>
      <c r="D3" s="41" t="n">
        <v>46328</v>
      </c>
      <c r="E3" s="20" t="s">
        <v>524</v>
      </c>
      <c r="F3" s="20"/>
      <c r="G3" s="20" t="s">
        <v>41</v>
      </c>
      <c r="H3" s="20" t="s">
        <v>525</v>
      </c>
      <c r="I3" s="20" t="s">
        <v>40</v>
      </c>
      <c r="J3" s="20" t="s">
        <v>498</v>
      </c>
    </row>
    <row r="4" customFormat="false" ht="15" hidden="false" customHeight="false" outlineLevel="0" collapsed="false">
      <c r="A4" s="41" t="n">
        <v>46328</v>
      </c>
      <c r="B4" s="20" t="s">
        <v>526</v>
      </c>
      <c r="C4" s="20"/>
      <c r="D4" s="41" t="n">
        <v>46340</v>
      </c>
      <c r="E4" s="20" t="s">
        <v>527</v>
      </c>
      <c r="F4" s="20"/>
      <c r="G4" s="20" t="s">
        <v>45</v>
      </c>
      <c r="H4" s="20" t="s">
        <v>43</v>
      </c>
      <c r="I4" s="20" t="s">
        <v>49</v>
      </c>
      <c r="J4" s="20" t="s">
        <v>528</v>
      </c>
    </row>
    <row r="5" customFormat="false" ht="15" hidden="false" customHeight="false" outlineLevel="0" collapsed="false">
      <c r="A5" s="41" t="n">
        <v>46341</v>
      </c>
      <c r="B5" s="20" t="s">
        <v>529</v>
      </c>
      <c r="C5" s="20"/>
      <c r="D5" s="41" t="n">
        <v>46341</v>
      </c>
      <c r="E5" s="20" t="s">
        <v>530</v>
      </c>
      <c r="F5" s="20"/>
      <c r="G5" s="20" t="s">
        <v>54</v>
      </c>
      <c r="H5" s="20" t="s">
        <v>71</v>
      </c>
      <c r="I5" s="20" t="s">
        <v>59</v>
      </c>
      <c r="J5" s="20"/>
    </row>
    <row r="6" customFormat="false" ht="15" hidden="false" customHeight="false" outlineLevel="0" collapsed="false">
      <c r="A6" s="41" t="n">
        <v>46346</v>
      </c>
      <c r="B6" s="20" t="s">
        <v>531</v>
      </c>
      <c r="C6" s="20"/>
      <c r="D6" s="20"/>
      <c r="E6" s="20"/>
      <c r="F6" s="20"/>
      <c r="G6" s="20"/>
      <c r="H6" s="20" t="s">
        <v>61</v>
      </c>
      <c r="I6" s="20" t="s">
        <v>65</v>
      </c>
      <c r="J6" s="20"/>
    </row>
    <row r="7" customFormat="false" ht="15" hidden="false" customHeight="false" outlineLevel="0" collapsed="false">
      <c r="A7" s="20"/>
      <c r="B7" s="20"/>
      <c r="C7" s="20"/>
      <c r="D7" s="20"/>
      <c r="E7" s="20"/>
      <c r="F7" s="20"/>
      <c r="G7" s="20"/>
      <c r="H7" s="20" t="s">
        <v>532</v>
      </c>
      <c r="I7" s="20"/>
      <c r="J7" s="20"/>
    </row>
    <row r="8" customFormat="false" ht="15" hidden="false" customHeight="false" outlineLevel="0" collapsed="false">
      <c r="A8" s="20"/>
      <c r="B8" s="20"/>
      <c r="C8" s="20"/>
      <c r="D8" s="20"/>
      <c r="E8" s="20"/>
      <c r="F8" s="20"/>
      <c r="G8" s="20"/>
      <c r="H8" s="20" t="s">
        <v>47</v>
      </c>
      <c r="I8" s="20"/>
      <c r="J8" s="20"/>
    </row>
    <row r="9" customFormat="false" ht="15" hidden="false" customHeight="false" outlineLevel="0" collapsed="false">
      <c r="A9" s="20"/>
      <c r="B9" s="20"/>
      <c r="C9" s="20"/>
      <c r="D9" s="20"/>
      <c r="E9" s="20"/>
      <c r="F9" s="20"/>
      <c r="G9" s="20"/>
      <c r="H9" s="20" t="s">
        <v>533</v>
      </c>
      <c r="I9" s="20"/>
      <c r="J9" s="20"/>
    </row>
    <row r="10" customFormat="false" ht="15" hidden="false" customHeight="false" outlineLevel="0" collapsed="false">
      <c r="A10" s="20"/>
      <c r="B10" s="20"/>
      <c r="C10" s="20"/>
      <c r="D10" s="20"/>
      <c r="E10" s="20"/>
      <c r="F10" s="20"/>
      <c r="G10" s="20"/>
      <c r="H10" s="20" t="s">
        <v>534</v>
      </c>
      <c r="I10" s="20"/>
      <c r="J10" s="20"/>
    </row>
    <row r="11" customFormat="false" ht="15" hidden="false" customHeight="false" outlineLevel="0" collapsed="false">
      <c r="A11" s="20"/>
      <c r="B11" s="20"/>
      <c r="C11" s="20"/>
      <c r="D11" s="20"/>
      <c r="E11" s="20"/>
      <c r="F11" s="20"/>
      <c r="G11" s="20"/>
      <c r="H11" s="20" t="s">
        <v>535</v>
      </c>
      <c r="I11" s="20"/>
      <c r="J11" s="20"/>
    </row>
    <row r="12" customFormat="false" ht="15" hidden="false" customHeight="false" outlineLevel="0" collapsed="false">
      <c r="A12" s="20"/>
      <c r="B12" s="20"/>
      <c r="C12" s="20"/>
      <c r="D12" s="20"/>
      <c r="E12" s="20"/>
      <c r="F12" s="20"/>
      <c r="G12" s="20"/>
      <c r="H12" s="20" t="s">
        <v>536</v>
      </c>
      <c r="I12" s="20"/>
      <c r="J12"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2026-10-14T21:47:51Z</dcterms:created>
  <dc:creator>openpyxl</dc:creator>
  <dc:description/>
  <dc:language>en-US</dc:language>
  <cp:lastModifiedBy/>
  <dcterms:modified xsi:type="dcterms:W3CDTF">2026-10-14T21:47:52Z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