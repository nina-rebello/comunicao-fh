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onograma" sheetId="1" state="visible" r:id="rId1"/>
    <sheet xmlns:r="http://schemas.openxmlformats.org/officeDocument/2006/relationships" name="Listas" sheetId="2" state="hidden" r:id="rId2"/>
  </sheets>
  <definedNames>
    <definedName name="_xlnm._FilterDatabase" localSheetId="0" hidden="1">'Cronograma'!$A$4:$Q$69</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dd/mm (ddd)"/>
  </numFmts>
  <fonts count="7">
    <font>
      <name val="Calibri"/>
      <family val="2"/>
      <color theme="1"/>
      <sz val="11"/>
      <scheme val="minor"/>
    </font>
    <font>
      <name val="Arial"/>
      <b val="1"/>
      <color rgb="002F6B64"/>
      <sz val="14"/>
    </font>
    <font>
      <name val="Arial"/>
      <b val="1"/>
      <sz val="10"/>
    </font>
    <font>
      <name val="Arial"/>
      <b val="1"/>
      <color rgb="000000FF"/>
      <sz val="10"/>
    </font>
    <font>
      <name val="Arial"/>
      <i val="1"/>
      <color rgb="005F6B69"/>
      <sz val="10"/>
    </font>
    <font>
      <name val="Arial"/>
      <b val="1"/>
      <color rgb="00FFFFFF"/>
      <sz val="10"/>
    </font>
    <font>
      <name val="Arial"/>
      <sz val="10"/>
    </font>
  </fonts>
  <fills count="5">
    <fill>
      <patternFill/>
    </fill>
    <fill>
      <patternFill patternType="gray125"/>
    </fill>
    <fill>
      <patternFill patternType="solid">
        <fgColor rgb="00FFF6CC"/>
      </patternFill>
    </fill>
    <fill>
      <patternFill patternType="solid">
        <fgColor rgb="002F6B64"/>
      </patternFill>
    </fill>
    <fill>
      <patternFill patternType="solid">
        <fgColor rgb="00F4F8F7"/>
      </patternFill>
    </fill>
  </fills>
  <borders count="2">
    <border>
      <left/>
      <right/>
      <top/>
      <bottom/>
      <diagonal/>
    </border>
    <border>
      <left style="thin">
        <color rgb="00C9D6D3"/>
      </left>
      <right style="thin">
        <color rgb="00C9D6D3"/>
      </right>
      <top style="thin">
        <color rgb="00C9D6D3"/>
      </top>
      <bottom style="thin">
        <color rgb="00C9D6D3"/>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165" fontId="3" fillId="2" borderId="0" pivotButton="0" quotePrefix="0" xfId="0"/>
    <xf numFmtId="0" fontId="4" fillId="0" borderId="0" pivotButton="0" quotePrefix="0" xfId="0"/>
    <xf numFmtId="0" fontId="5" fillId="3"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vertical="top" wrapText="1"/>
    </xf>
    <xf numFmtId="166" fontId="6" fillId="0" borderId="1" applyAlignment="1" pivotButton="0" quotePrefix="0" xfId="0">
      <alignment vertical="top" wrapText="1"/>
    </xf>
    <xf numFmtId="0" fontId="2" fillId="0" borderId="1" applyAlignment="1" pivotButton="0" quotePrefix="0" xfId="0">
      <alignment vertical="top" wrapText="1"/>
    </xf>
    <xf numFmtId="0" fontId="6" fillId="4" borderId="1" applyAlignment="1" pivotButton="0" quotePrefix="0" xfId="0">
      <alignment horizontal="center" vertical="top" wrapText="1"/>
    </xf>
    <xf numFmtId="0" fontId="6" fillId="4" borderId="1" applyAlignment="1" pivotButton="0" quotePrefix="0" xfId="0">
      <alignment vertical="top" wrapText="1"/>
    </xf>
    <xf numFmtId="166" fontId="6" fillId="4"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dxfs count="4">
    <dxf>
      <fill>
        <patternFill patternType="solid">
          <fgColor rgb="00C6E8D5"/>
        </patternFill>
      </fill>
    </dxf>
    <dxf>
      <fill>
        <patternFill patternType="solid">
          <fgColor rgb="00E3F1DC"/>
        </patternFill>
      </fill>
    </dxf>
    <dxf>
      <fill>
        <patternFill patternType="solid">
          <fgColor rgb="00FCE8C8"/>
        </patternFill>
      </fill>
    </dxf>
    <dxf>
      <fill>
        <patternFill patternType="solid">
          <fgColor rgb="00FFF3C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69"/>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9" customWidth="1" min="3" max="3"/>
    <col width="11" customWidth="1" min="4" max="4"/>
    <col width="16" customWidth="1" min="5" max="5"/>
    <col width="34" customWidth="1" min="6" max="6"/>
    <col width="24" customWidth="1" min="7" max="7"/>
    <col width="10" customWidth="1" min="8" max="8"/>
    <col width="24" customWidth="1" min="9" max="9"/>
    <col width="30" customWidth="1" min="10" max="10"/>
    <col width="62" customWidth="1" min="11" max="11"/>
    <col width="58" customWidth="1" min="12" max="12"/>
    <col width="24" customWidth="1" min="13" max="13"/>
    <col width="26" customWidth="1" min="14" max="14"/>
    <col width="22" customWidth="1" min="15" max="15"/>
    <col width="12" customWidth="1" min="16" max="16"/>
    <col width="30" customWidth="1" min="17" max="17"/>
  </cols>
  <sheetData>
    <row r="1">
      <c r="A1" s="1" t="inlineStr">
        <is>
          <t>Cronograma de posts · FAIR HEALTH · 90 dias</t>
        </is>
      </c>
    </row>
    <row r="2">
      <c r="A2" s="2" t="inlineStr">
        <is>
          <t>Início (segunda da semana 1):</t>
        </is>
      </c>
      <c r="D2" s="3" t="n">
        <v>46300</v>
      </c>
      <c r="E2" s="4" t="inlineStr">
        <is>
          <t>Mude esta data e todas as datas se ajustam. Horário padrão: 7:30.</t>
        </is>
      </c>
    </row>
    <row r="4" ht="32" customHeight="1">
      <c r="A4" s="5" t="inlineStr">
        <is>
          <t>ID</t>
        </is>
      </c>
      <c r="B4" s="5" t="inlineStr">
        <is>
          <t>Semana</t>
        </is>
      </c>
      <c r="C4" s="5" t="inlineStr">
        <is>
          <t>Dia</t>
        </is>
      </c>
      <c r="D4" s="5" t="inlineStr">
        <is>
          <t>Data</t>
        </is>
      </c>
      <c r="E4" s="5" t="inlineStr">
        <is>
          <t>Tema da semana</t>
        </is>
      </c>
      <c r="F4" s="5" t="inlineStr">
        <is>
          <t>Pauta</t>
        </is>
      </c>
      <c r="G4" s="5" t="inlineStr">
        <is>
          <t>Objetivo</t>
        </is>
      </c>
      <c r="H4" s="5" t="inlineStr">
        <is>
          <t>Formato</t>
        </is>
      </c>
      <c r="I4" s="5" t="inlineStr">
        <is>
          <t>Especificação</t>
        </is>
      </c>
      <c r="J4" s="5" t="inlineStr">
        <is>
          <t>Gancho (capa ou 2 s iniciais)</t>
        </is>
      </c>
      <c r="K4" s="5" t="inlineStr">
        <is>
          <t>Roteiro / conteúdo</t>
        </is>
      </c>
      <c r="L4" s="5" t="inlineStr">
        <is>
          <t>Legenda</t>
        </is>
      </c>
      <c r="M4" s="5" t="inlineStr">
        <is>
          <t>CTA</t>
        </is>
      </c>
      <c r="N4" s="5" t="inlineStr">
        <is>
          <t>Hashtags</t>
        </is>
      </c>
      <c r="O4" s="5" t="inlineStr">
        <is>
          <t>Quem aparece / fotos</t>
        </is>
      </c>
      <c r="P4" s="5" t="inlineStr">
        <is>
          <t>Status</t>
        </is>
      </c>
      <c r="Q4" s="5" t="inlineStr">
        <is>
          <t>Observações</t>
        </is>
      </c>
    </row>
    <row r="5" ht="230" customHeight="1">
      <c r="A5" s="6" t="n">
        <v>1</v>
      </c>
      <c r="B5" s="6" t="n">
        <v>1</v>
      </c>
      <c r="C5" s="7" t="inlineStr">
        <is>
          <t>Segunda</t>
        </is>
      </c>
      <c r="D5" s="8">
        <f>$D$2+(B5-1)*7+MATCH(C5,Listas!$A$1:$A$5,0)-1</f>
        <v/>
      </c>
      <c r="E5" s="7" t="inlineStr">
        <is>
          <t>Quem somos</t>
        </is>
      </c>
      <c r="F5" s="9" t="inlineStr">
        <is>
          <t>Reel manifesto: Bem-vindos à FAIR HEALTH</t>
        </is>
      </c>
      <c r="G5" s="7" t="inlineStr">
        <is>
          <t>Propósito e posicionamento</t>
        </is>
      </c>
      <c r="H5" s="7" t="inlineStr">
        <is>
          <t>Reel</t>
        </is>
      </c>
      <c r="I5" s="7" t="inlineStr">
        <is>
          <t>9:16 · 1080x1920 · 30–45 s · texto na tela desde o 1º quadro</t>
        </is>
      </c>
      <c r="J5" s="7" t="inlineStr">
        <is>
          <t>O afastamento não começa no atestado.</t>
        </is>
      </c>
      <c r="K5" s="7" t="inlineStr">
        <is>
          <t>0–2 s · "O afastamento não começa no atestado." Imagem: porta do Escritório do Cuidado se abrindo. Tela: O AFASTAMENTO NÃO COMEÇA NO ATESTADO
2–7 s · "Começa antes: no sono ruim, no estresse que acumula, na dor que ninguém trata." Imagem: detalhes de mãos, caneca, relógio. Tela: COMEÇA NA ROTINA
7–15 s · "A FAIR HEALTH existe para cuidar antes. Médicos, psicólogos e assistentes sociais dentro da empresa, perto de quem precisa." Imagem: time no espaço. Tela: CUIDAR ANTES
15–22 s · "E tudo começa com uma pergunta: o que importa para você?" Imagem: cada integrante olha para a câmera. Tela: O QUE IMPORTA PARA VOCÊ?
22–30 s · "Conhecemos a rotina, os objetivos e o contexto de cada pessoa. E acompanhamos com ciência, tecnologia e dados." Imagem: smartband, bioimpedância, tela genérica
30–35 s · "Bem-vindos à FAIR HEALTH." Logo + assinatura "O cuidado: o que importa para você?"</t>
        </is>
      </c>
      <c r="L5" s="7" t="inlineStr">
        <is>
          <t>O afastamento não começa no atestado.
Começa muito antes, na rotina: no sono que não descansa, no estresse que vai acumulando, na dor que ninguém teve tempo de tratar.
A FAIR HEALTH nasceu para cuidar antes. Levamos médicos, psicólogos e assistentes sociais para dentro das empresas, com um plano de cuidado feito para cada pessoa, baseado na Medicina do Estilo de Vida.
E tudo começa com uma pergunta: o que importa para você?
Nos próximos dias, você vai conhecer quem cuida por aqui.
#fairhealth #saudecorporativa #cuidadocentradonapessoa #medicinadoestilodevida #saudedotrabalhador</t>
        </is>
      </c>
      <c r="M5" s="7" t="inlineStr">
        <is>
          <t>Siga para conhecer o time</t>
        </is>
      </c>
      <c r="N5" s="7" t="inlineStr">
        <is>
          <t>#fairhealth #saudecorporativa #cuidadocentradonapessoa #medicinadoestilodevida #saudedotrabalhador</t>
        </is>
      </c>
      <c r="O5" s="7" t="inlineStr">
        <is>
          <t>Time todo (vozes e imagens); espaço; mãos com smartband</t>
        </is>
      </c>
      <c r="P5" s="7" t="inlineStr">
        <is>
          <t>Em produção</t>
        </is>
      </c>
      <c r="Q5" s="7" t="inlineStr">
        <is>
          <t>Fixar no perfil. Stories: repost + caixa de perguntas "O que importa para você?".</t>
        </is>
      </c>
    </row>
    <row r="6" ht="230" customHeight="1">
      <c r="A6" s="6" t="n">
        <v>2</v>
      </c>
      <c r="B6" s="6" t="n">
        <v>1</v>
      </c>
      <c r="C6" s="7" t="inlineStr">
        <is>
          <t>Terça</t>
        </is>
      </c>
      <c r="D6" s="8">
        <f>$D$2+(B6-1)*7+MATCH(C6,Listas!$A$1:$A$5,0)-1</f>
        <v/>
      </c>
      <c r="E6" s="7" t="inlineStr">
        <is>
          <t>Quem somos</t>
        </is>
      </c>
      <c r="F6" s="9" t="inlineStr">
        <is>
          <t>Carrossel de apresentação: Bem-vindos à FAIR HEALTH</t>
        </is>
      </c>
      <c r="G6" s="7" t="inlineStr">
        <is>
          <t>Propósito e posicionamento</t>
        </is>
      </c>
      <c r="H6" s="7" t="inlineStr">
        <is>
          <t>Carrossel</t>
        </is>
      </c>
      <c r="I6" s="7" t="inlineStr">
        <is>
          <t>4:5 · 1080x1350 · 8–10 slides · slide 2 entendível sozinho</t>
        </is>
      </c>
      <c r="J6" s="7" t="inlineStr">
        <is>
          <t>O afastamento não começa no atestado. (sub: Bem-vindos à FAIR HEALTH)</t>
        </is>
      </c>
      <c r="K6" s="7" t="inlineStr">
        <is>
          <t>1 · CAPA · O afastamento não começa no atestado. / Bem-vindos à FAIR HEALTH.
2 · Quando vira atestado, o adoecimento já começou faz tempo.
3 · O RH costuma enxergar só o fim da história: atestado, afastamento e sinistro no plano de saúde.
4 · E o começo é pequeno: sono ruim, estresse acumulado, um hábito que escorrega, uma dor que ninguém trata.
5 · Por isso levamos o cuidado para dentro da empresa: médicos, psicólogos e assistentes sociais onde o time já está.
6 · E começamos com uma pergunta: O que importa para você? Rotina, objetivos e contexto viram um plano de cuidado individual, baseado na Medicina do Estilo de Vida.
7 · E comprovamos com dados: o RH recebe relatórios anonimizados. Nenhum dado individual.
8 · RESUMO · Por que existimos: 1. O adoecimento começa antes do atestado. 2. O RH só vê o fim. 3. Cuidado precisa estar perto. 4. Cada pessoa tem um plano. 5. Comprovamos com dados.
9 · CTA · Siga @fairhealth.br e conheça quem cuida.</t>
        </is>
      </c>
      <c r="L6" s="7" t="inlineStr">
        <is>
          <t>E se o afastamento começar muito antes do atestado?
Sono ruim, estresse acumulado, um hábito que escorrega, uma dor que ninguém trata. Nada disso aparece em relatório. Quando chega ao RH, já virou atestado, afastamento ou sinistro no plano de saúde.
A FAIR HEALTH nasceu para mudar essa ordem na saúde corporativa: levar médicos, psicólogos e assistentes sociais para dentro da empresa e cuidar antes que o adoecimento vire afastamento.
Cada cuidado começa com uma pergunta simples: o que importa para você?
E, porque cuidado sem dado é só intenção, o RH acompanha tudo em relatórios anonimizados.
#fairhealth #saudecorporativa #cuidadocentradonapessoa #medicinadoestilodevida #saudedotrabalhador</t>
        </is>
      </c>
      <c r="M6" s="7" t="inlineStr">
        <is>
          <t>Siga e conheça quem cuida</t>
        </is>
      </c>
      <c r="N6" s="7" t="inlineStr">
        <is>
          <t>#fairhealth #saudecorporativa #cuidadocentradonapessoa #medicinadoestilodevida #saudedotrabalhador</t>
        </is>
      </c>
      <c r="O6" s="7" t="inlineStr">
        <is>
          <t>Arte (fotos do espaço na capa e no slide 5)</t>
        </is>
      </c>
      <c r="P6" s="7" t="inlineStr">
        <is>
          <t>Em produção</t>
        </is>
      </c>
      <c r="Q6" s="7" t="inlineStr">
        <is>
          <t>Base: arte já pronta em instagram/posts/estreia (carrossel #1). Incluir o slide 6 novo.</t>
        </is>
      </c>
    </row>
    <row r="7" ht="230" customHeight="1">
      <c r="A7" s="6" t="n">
        <v>3</v>
      </c>
      <c r="B7" s="6" t="n">
        <v>1</v>
      </c>
      <c r="C7" s="7" t="inlineStr">
        <is>
          <t>Quarta</t>
        </is>
      </c>
      <c r="D7" s="8">
        <f>$D$2+(B7-1)*7+MATCH(C7,Listas!$A$1:$A$5,0)-1</f>
        <v/>
      </c>
      <c r="E7" s="7" t="inlineStr">
        <is>
          <t>Quem somos</t>
        </is>
      </c>
      <c r="F7" s="9" t="inlineStr">
        <is>
          <t>Carrossel: Quem cuida (time completo, sem cargos)</t>
        </is>
      </c>
      <c r="G7" s="7" t="inlineStr">
        <is>
          <t>Humanização e autoridade</t>
        </is>
      </c>
      <c r="H7" s="7" t="inlineStr">
        <is>
          <t>Carrossel</t>
        </is>
      </c>
      <c r="I7" s="7" t="inlineStr">
        <is>
          <t>4:5 · 1080x1350 · 8–10 slides · slide 2 entendível sozinho</t>
        </is>
      </c>
      <c r="J7" s="7" t="inlineStr">
        <is>
          <t>Quem cuida. (capa só com título grande e flecha; sem foto)</t>
        </is>
      </c>
      <c r="K7" s="7" t="inlineStr">
        <is>
          <t>MODELO DE SLIDE DE PESSOA: [FOTO] · nome · "Cuidar, para mim, é [resposta]." · Fora daqui: [o que gosta de fazer]. Sem cargo.
1 · CAPA · Fundo verde-escuro. Pequeno no topo: O TIME FAIR HEALTH. Título grande: Quem cuida. Sub: 8 pessoas por trás de cada cuidado. Flecha para o lado.
2 · Por trás de cada cuidado, tem gente. Pedimos a cada pessoa do time que completasse uma frase: "Cuidar, para mim, é…"
3 · Marília · [FOTO] · "Cuidar, para mim, é [resposta]." · Fora daqui: [o que gosta de fazer]
4 · Nina · [FOTO] · "Cuidar, para mim, é [resposta]." · Fora daqui: [o que gosta de fazer]
5 · Ronald · [FOTO] · "Cuidar, para mim, é [resposta]." · Fora daqui: [o que gosta de fazer]
6 · Floriana · [FOTO] · "Cuidar, para mim, é [resposta]." · Fora daqui: [o que gosta de fazer]
7 · Renata · [FOTO] · "Cuidar, para mim, é [resposta]." · Fora daqui: [o que gosta de fazer]
8 · Liliane · [FOTO] · "Cuidar, para mim, é [resposta]." · Fora daqui: [o que gosta de fazer]
9 · Fernando · [FOTO] · "Cuidar, para mim, é [resposta]." · Fora daqui: [o que gosta de fazer]
10 · Charles · [FOTO] · "Cuidar, para mim, é [resposta]." · Fora daqui: [o que gosta de fazer]
11 · CTA · Histórias diferentes, o mesmo jeito de cuidar. E para você, o que é cuidar? Conta nos comentários.</t>
        </is>
      </c>
      <c r="L7" s="7" t="inlineStr">
        <is>
          <t>Por trás de todo cuidado, tem gente.
Pedimos a cada pessoa do time da FAIR HEALTH que completasse uma frase: "Cuidar, para mim, é…". As respostas estão no carrossel.
São 8 histórias diferentes e um mesmo jeito de cuidar: começando pela pessoa.
E para você, o que é cuidar?
#fairhealth #saudecorporativa #cuidadocentradonapessoa #medicinadoestilodevida #saudedotrabalhador</t>
        </is>
      </c>
      <c r="M7" s="7" t="inlineStr">
        <is>
          <t>Comente: e para você, o que é cuidar?</t>
        </is>
      </c>
      <c r="N7" s="7" t="inlineStr">
        <is>
          <t>#fairhealth #saudecorporativa #cuidadocentradonapessoa #medicinadoestilodevida #saudedotrabalhador</t>
        </is>
      </c>
      <c r="O7" s="7" t="inlineStr">
        <is>
          <t>8 pessoas: Marília, Nina, Ronald, Floriana, Renata, Liliane, Fernando, Charles. Retrato individual de cada um.</t>
        </is>
      </c>
      <c r="P7" s="7" t="inlineStr">
        <is>
          <t>Em revisão</t>
        </is>
      </c>
      <c r="Q7" s="7" t="inlineStr">
        <is>
          <t>Na aprovação, pedir a cada pessoa: 1) uma foto (fundo claro, do peito para cima); 2) completar "Cuidar, para mim, é…"; 3) o que gosta de fazer fora do trabalho. Sem cargo (pedido do sócio). Confirmar com o Dr. Ronald se médicos precisam de CRM no post. Arte: instagram/posts/time.</t>
        </is>
      </c>
    </row>
    <row r="8" ht="30" customHeight="1">
      <c r="A8" s="6" t="n">
        <v>4</v>
      </c>
      <c r="B8" s="6" t="n">
        <v>1</v>
      </c>
      <c r="C8" s="7" t="inlineStr">
        <is>
          <t>Quinta</t>
        </is>
      </c>
      <c r="D8" s="8">
        <f>$D$2+(B8-1)*7+MATCH(C8,Listas!$A$1:$A$5,0)-1</f>
        <v/>
      </c>
      <c r="E8" s="7" t="inlineStr">
        <is>
          <t>Quem somos</t>
        </is>
      </c>
      <c r="F8" s="9" t="inlineStr">
        <is>
          <t>Por dentro: o time respondendo "O que importa para você?" em vídeo</t>
        </is>
      </c>
      <c r="G8" s="7" t="inlineStr">
        <is>
          <t>Pessoas, método, bastidores e prova</t>
        </is>
      </c>
      <c r="H8" s="7" t="inlineStr">
        <is>
          <t>Reel</t>
        </is>
      </c>
      <c r="I8" s="7" t="inlineStr">
        <is>
          <t>9:16 · 1080x1920 · 30–45 s · texto na tela desde o 1º quadro</t>
        </is>
      </c>
      <c r="J8" s="7" t="n"/>
      <c r="K8" s="7" t="n"/>
      <c r="L8" s="7" t="n"/>
      <c r="M8" s="7" t="n"/>
      <c r="N8" s="7" t="n"/>
      <c r="O8" s="7" t="n"/>
      <c r="P8" s="7" t="inlineStr">
        <is>
          <t>A fazer</t>
        </is>
      </c>
      <c r="Q8" s="7" t="n"/>
    </row>
    <row r="9" ht="30" customHeight="1">
      <c r="A9" s="6" t="n">
        <v>5</v>
      </c>
      <c r="B9" s="6" t="n">
        <v>1</v>
      </c>
      <c r="C9" s="7" t="inlineStr">
        <is>
          <t>Sexta</t>
        </is>
      </c>
      <c r="D9" s="8">
        <f>$D$2+(B9-1)*7+MATCH(C9,Listas!$A$1:$A$5,0)-1</f>
        <v/>
      </c>
      <c r="E9" s="7" t="inlineStr">
        <is>
          <t>Quem somos</t>
        </is>
      </c>
      <c r="F9" s="9" t="inlineStr">
        <is>
          <t>Como a FAIR HEALTH cuida: medir, cuidar, conscientizar, comprovar</t>
        </is>
      </c>
      <c r="G9" s="7" t="inlineStr">
        <is>
          <t>Explicar o modelo individualizado</t>
        </is>
      </c>
      <c r="H9" s="7" t="inlineStr">
        <is>
          <t>Carrossel</t>
        </is>
      </c>
      <c r="I9" s="7" t="inlineStr">
        <is>
          <t>4:5 · 1080x1350 · 8–10 slides · slide 2 entendível sozinho</t>
        </is>
      </c>
      <c r="J9" s="7" t="n"/>
      <c r="K9" s="7" t="n"/>
      <c r="L9" s="7" t="n"/>
      <c r="M9" s="7" t="n"/>
      <c r="N9" s="7" t="n"/>
      <c r="O9" s="7" t="n"/>
      <c r="P9" s="7" t="inlineStr">
        <is>
          <t>A fazer</t>
        </is>
      </c>
      <c r="Q9" s="7" t="inlineStr">
        <is>
          <t>Base: arte pronta em instagram/posts/estreia (carrossel #3).</t>
        </is>
      </c>
    </row>
    <row r="10" ht="30" customHeight="1">
      <c r="A10" s="10" t="n">
        <v>6</v>
      </c>
      <c r="B10" s="10" t="n">
        <v>2</v>
      </c>
      <c r="C10" s="11" t="inlineStr">
        <is>
          <t>Segunda</t>
        </is>
      </c>
      <c r="D10" s="12">
        <f>$D$2+(B10-1)*7+MATCH(C10,Listas!$A$1:$A$5,0)-1</f>
        <v/>
      </c>
      <c r="E10" s="11" t="inlineStr">
        <is>
          <t>Quem cuida</t>
        </is>
      </c>
      <c r="F10" s="13" t="inlineStr">
        <is>
          <t>O que importa para você? As respostas de quem nos segue (caixa de perguntas vira post)</t>
        </is>
      </c>
      <c r="G10" s="11" t="inlineStr">
        <is>
          <t>Marca, relacionamento e diferenciação</t>
        </is>
      </c>
      <c r="H10" s="11" t="inlineStr">
        <is>
          <t>Carrossel</t>
        </is>
      </c>
      <c r="I10" s="11" t="inlineStr">
        <is>
          <t>4:5 · 1080x1350 · 8–10 slides · slide 2 entendível sozinho</t>
        </is>
      </c>
      <c r="J10" s="11" t="n"/>
      <c r="K10" s="11" t="n"/>
      <c r="L10" s="11" t="n"/>
      <c r="M10" s="11" t="n"/>
      <c r="N10" s="11" t="n"/>
      <c r="O10" s="11" t="n"/>
      <c r="P10" s="11" t="inlineStr">
        <is>
          <t>A fazer</t>
        </is>
      </c>
      <c r="Q10" s="11" t="n"/>
    </row>
    <row r="11" ht="30" customHeight="1">
      <c r="A11" s="10" t="n">
        <v>7</v>
      </c>
      <c r="B11" s="10" t="n">
        <v>2</v>
      </c>
      <c r="C11" s="11" t="inlineStr">
        <is>
          <t>Terça</t>
        </is>
      </c>
      <c r="D11" s="12">
        <f>$D$2+(B11-1)*7+MATCH(C11,Listas!$A$1:$A$5,0)-1</f>
        <v/>
      </c>
      <c r="E11" s="11" t="inlineStr">
        <is>
          <t>Quem cuida</t>
        </is>
      </c>
      <c r="F11" s="13" t="inlineStr">
        <is>
          <t>1 Minuto de Cuidado: como enxergamos o cuidado (com um profissional)</t>
        </is>
      </c>
      <c r="G11" s="11" t="inlineStr">
        <is>
          <t>Descoberta, educação e retenção</t>
        </is>
      </c>
      <c r="H11" s="11" t="inlineStr">
        <is>
          <t>Reel</t>
        </is>
      </c>
      <c r="I11" s="11" t="inlineStr">
        <is>
          <t>9:16 · 1080x1920 · 30–45 s · texto na tela desde o 1º quadro</t>
        </is>
      </c>
      <c r="J11" s="11" t="n"/>
      <c r="K11" s="11" t="n"/>
      <c r="L11" s="11" t="n"/>
      <c r="M11" s="11" t="n"/>
      <c r="N11" s="11" t="n"/>
      <c r="O11" s="11" t="n"/>
      <c r="P11" s="11" t="inlineStr">
        <is>
          <t>A fazer</t>
        </is>
      </c>
      <c r="Q11" s="11" t="n"/>
    </row>
    <row r="12" ht="30" customHeight="1">
      <c r="A12" s="10" t="n">
        <v>8</v>
      </c>
      <c r="B12" s="10" t="n">
        <v>2</v>
      </c>
      <c r="C12" s="11" t="inlineStr">
        <is>
          <t>Quarta</t>
        </is>
      </c>
      <c r="D12" s="12">
        <f>$D$2+(B12-1)*7+MATCH(C12,Listas!$A$1:$A$5,0)-1</f>
        <v/>
      </c>
      <c r="E12" s="11" t="inlineStr">
        <is>
          <t>Quem cuida</t>
        </is>
      </c>
      <c r="F12" s="13" t="inlineStr">
        <is>
          <t>Os pilares da saúde: os 7 pilares da Medicina do Estilo de Vida</t>
        </is>
      </c>
      <c r="G12" s="11" t="inlineStr">
        <is>
          <t>Apresentar MEV e iniciar série educativa</t>
        </is>
      </c>
      <c r="H12" s="11" t="inlineStr">
        <is>
          <t>Carrossel</t>
        </is>
      </c>
      <c r="I12" s="11" t="inlineStr">
        <is>
          <t>4:5 · 1080x1350 · 8–10 slides · slide 2 entendível sozinho</t>
        </is>
      </c>
      <c r="J12" s="11" t="n"/>
      <c r="K12" s="11" t="n"/>
      <c r="L12" s="11" t="n"/>
      <c r="M12" s="11" t="n"/>
      <c r="N12" s="11" t="n"/>
      <c r="O12" s="11" t="n"/>
      <c r="P12" s="11" t="inlineStr">
        <is>
          <t>A fazer</t>
        </is>
      </c>
      <c r="Q12" s="11" t="n"/>
    </row>
    <row r="13" ht="30" customHeight="1">
      <c r="A13" s="10" t="n">
        <v>9</v>
      </c>
      <c r="B13" s="10" t="n">
        <v>2</v>
      </c>
      <c r="C13" s="11" t="inlineStr">
        <is>
          <t>Quinta</t>
        </is>
      </c>
      <c r="D13" s="12">
        <f>$D$2+(B13-1)*7+MATCH(C13,Listas!$A$1:$A$5,0)-1</f>
        <v/>
      </c>
      <c r="E13" s="11" t="inlineStr">
        <is>
          <t>Quem cuida</t>
        </is>
      </c>
      <c r="F13" s="13" t="inlineStr">
        <is>
          <t>Por dentro da FAIR HEALTH: espaço, atendimento, tecnologia e acompanhamento</t>
        </is>
      </c>
      <c r="G13" s="11" t="inlineStr">
        <is>
          <t>Tangibilizar atendimento, tecnologia e acompanhamento</t>
        </is>
      </c>
      <c r="H13" s="11" t="inlineStr">
        <is>
          <t>Reel</t>
        </is>
      </c>
      <c r="I13" s="11" t="inlineStr">
        <is>
          <t>9:16 · 1080x1920 · 30–45 s · texto na tela desde o 1º quadro</t>
        </is>
      </c>
      <c r="J13" s="11" t="n"/>
      <c r="K13" s="11" t="n"/>
      <c r="L13" s="11" t="n"/>
      <c r="M13" s="11" t="n"/>
      <c r="N13" s="11" t="n"/>
      <c r="O13" s="11" t="n"/>
      <c r="P13" s="11" t="inlineStr">
        <is>
          <t>A fazer</t>
        </is>
      </c>
      <c r="Q13" s="11" t="n"/>
    </row>
    <row r="14" ht="30" customHeight="1">
      <c r="A14" s="10" t="n">
        <v>10</v>
      </c>
      <c r="B14" s="10" t="n">
        <v>2</v>
      </c>
      <c r="C14" s="11" t="inlineStr">
        <is>
          <t>Sexta</t>
        </is>
      </c>
      <c r="D14" s="12">
        <f>$D$2+(B14-1)*7+MATCH(C14,Listas!$A$1:$A$5,0)-1</f>
        <v/>
      </c>
      <c r="E14" s="11" t="inlineStr">
        <is>
          <t>Quem cuida</t>
        </is>
      </c>
      <c r="F14" s="13" t="inlineStr">
        <is>
          <t>O que o Escritório do Cuidado entrega à empresa</t>
        </is>
      </c>
      <c r="G14" s="11" t="inlineStr">
        <is>
          <t>Saúde corporativa, NR-1 e B2B</t>
        </is>
      </c>
      <c r="H14" s="11" t="inlineStr">
        <is>
          <t>Carrossel</t>
        </is>
      </c>
      <c r="I14" s="11" t="inlineStr">
        <is>
          <t>4:5 · 1080x1350 · 8–10 slides · slide 2 entendível sozinho</t>
        </is>
      </c>
      <c r="J14" s="11" t="n"/>
      <c r="K14" s="11" t="n"/>
      <c r="L14" s="11" t="n"/>
      <c r="M14" s="11" t="n"/>
      <c r="N14" s="11" t="n"/>
      <c r="O14" s="11" t="n"/>
      <c r="P14" s="11" t="inlineStr">
        <is>
          <t>A fazer</t>
        </is>
      </c>
      <c r="Q14" s="11" t="n"/>
    </row>
    <row r="15" ht="30" customHeight="1">
      <c r="A15" s="6" t="n">
        <v>11</v>
      </c>
      <c r="B15" s="6" t="n">
        <v>3</v>
      </c>
      <c r="C15" s="7" t="inlineStr">
        <is>
          <t>Segunda</t>
        </is>
      </c>
      <c r="D15" s="8">
        <f>$D$2+(B15-1)*7+MATCH(C15,Listas!$A$1:$A$5,0)-1</f>
        <v/>
      </c>
      <c r="E15" s="7" t="inlineStr">
        <is>
          <t>Como cuidamos</t>
        </is>
      </c>
      <c r="F15" s="9" t="inlineStr">
        <is>
          <t>Plano de cuidado individualizado: avaliação, metas e acompanhamento</t>
        </is>
      </c>
      <c r="G15" s="7" t="inlineStr">
        <is>
          <t>Marca, relacionamento e diferenciação</t>
        </is>
      </c>
      <c r="H15" s="7" t="inlineStr">
        <is>
          <t>Carrossel</t>
        </is>
      </c>
      <c r="I15" s="7" t="inlineStr">
        <is>
          <t>4:5 · 1080x1350 · 8–10 slides · slide 2 entendível sozinho</t>
        </is>
      </c>
      <c r="J15" s="7" t="n"/>
      <c r="K15" s="7" t="n"/>
      <c r="L15" s="7" t="n"/>
      <c r="M15" s="7" t="n"/>
      <c r="N15" s="7" t="n"/>
      <c r="O15" s="7" t="n"/>
      <c r="P15" s="7" t="inlineStr">
        <is>
          <t>A fazer</t>
        </is>
      </c>
      <c r="Q15" s="7" t="n"/>
    </row>
    <row r="16" ht="30" customHeight="1">
      <c r="A16" s="6" t="n">
        <v>12</v>
      </c>
      <c r="B16" s="6" t="n">
        <v>3</v>
      </c>
      <c r="C16" s="7" t="inlineStr">
        <is>
          <t>Terça</t>
        </is>
      </c>
      <c r="D16" s="8">
        <f>$D$2+(B16-1)*7+MATCH(C16,Listas!$A$1:$A$5,0)-1</f>
        <v/>
      </c>
      <c r="E16" s="7" t="inlineStr">
        <is>
          <t>Como cuidamos</t>
        </is>
      </c>
      <c r="F16" s="9" t="inlineStr">
        <is>
          <t>Medicina do Estilo de Vida em 1 minuto</t>
        </is>
      </c>
      <c r="G16" s="7" t="inlineStr">
        <is>
          <t>Descoberta, educação e retenção</t>
        </is>
      </c>
      <c r="H16" s="7" t="inlineStr">
        <is>
          <t>Reel</t>
        </is>
      </c>
      <c r="I16" s="7" t="inlineStr">
        <is>
          <t>9:16 · 1080x1920 · 30–45 s · texto na tela desde o 1º quadro</t>
        </is>
      </c>
      <c r="J16" s="7" t="n"/>
      <c r="K16" s="7" t="n"/>
      <c r="L16" s="7" t="n"/>
      <c r="M16" s="7" t="n"/>
      <c r="N16" s="7" t="n"/>
      <c r="O16" s="7" t="n"/>
      <c r="P16" s="7" t="inlineStr">
        <is>
          <t>A fazer</t>
        </is>
      </c>
      <c r="Q16" s="7" t="n"/>
    </row>
    <row r="17" ht="30" customHeight="1">
      <c r="A17" s="6" t="n">
        <v>13</v>
      </c>
      <c r="B17" s="6" t="n">
        <v>3</v>
      </c>
      <c r="C17" s="7" t="inlineStr">
        <is>
          <t>Quarta</t>
        </is>
      </c>
      <c r="D17" s="8">
        <f>$D$2+(B17-1)*7+MATCH(C17,Listas!$A$1:$A$5,0)-1</f>
        <v/>
      </c>
      <c r="E17" s="7" t="inlineStr">
        <is>
          <t>Como cuidamos</t>
        </is>
      </c>
      <c r="F17" s="9" t="inlineStr">
        <is>
          <t>Escritório do Cuidado: o que é e como funciona</t>
        </is>
      </c>
      <c r="G17" s="7" t="inlineStr">
        <is>
          <t>Autoridade, salvamento e compartilhamento</t>
        </is>
      </c>
      <c r="H17" s="7" t="inlineStr">
        <is>
          <t>Carrossel</t>
        </is>
      </c>
      <c r="I17" s="7" t="inlineStr">
        <is>
          <t>4:5 · 1080x1350 · 8–10 slides · slide 2 entendível sozinho</t>
        </is>
      </c>
      <c r="J17" s="7" t="n"/>
      <c r="K17" s="7" t="n"/>
      <c r="L17" s="7" t="n"/>
      <c r="M17" s="7" t="n"/>
      <c r="N17" s="7" t="n"/>
      <c r="O17" s="7" t="n"/>
      <c r="P17" s="7" t="inlineStr">
        <is>
          <t>A fazer</t>
        </is>
      </c>
      <c r="Q17" s="7" t="n"/>
    </row>
    <row r="18" ht="30" customHeight="1">
      <c r="A18" s="6" t="n">
        <v>14</v>
      </c>
      <c r="B18" s="6" t="n">
        <v>3</v>
      </c>
      <c r="C18" s="7" t="inlineStr">
        <is>
          <t>Quinta</t>
        </is>
      </c>
      <c r="D18" s="8">
        <f>$D$2+(B18-1)*7+MATCH(C18,Listas!$A$1:$A$5,0)-1</f>
        <v/>
      </c>
      <c r="E18" s="7" t="inlineStr">
        <is>
          <t>Como cuidamos</t>
        </is>
      </c>
      <c r="F18" s="9" t="inlineStr">
        <is>
          <t>Uma consulta por dentro: da anamnese ao plano</t>
        </is>
      </c>
      <c r="G18" s="7" t="inlineStr">
        <is>
          <t>Pessoas, método, bastidores e prova</t>
        </is>
      </c>
      <c r="H18" s="7" t="inlineStr">
        <is>
          <t>Reel</t>
        </is>
      </c>
      <c r="I18" s="7" t="inlineStr">
        <is>
          <t>9:16 · 1080x1920 · 30–45 s · texto na tela desde o 1º quadro</t>
        </is>
      </c>
      <c r="J18" s="7" t="n"/>
      <c r="K18" s="7" t="n"/>
      <c r="L18" s="7" t="n"/>
      <c r="M18" s="7" t="n"/>
      <c r="N18" s="7" t="n"/>
      <c r="O18" s="7" t="n"/>
      <c r="P18" s="7" t="inlineStr">
        <is>
          <t>A fazer</t>
        </is>
      </c>
      <c r="Q18" s="7" t="n"/>
    </row>
    <row r="19" ht="30" customHeight="1">
      <c r="A19" s="6" t="n">
        <v>15</v>
      </c>
      <c r="B19" s="6" t="n">
        <v>3</v>
      </c>
      <c r="C19" s="7" t="inlineStr">
        <is>
          <t>Sexta</t>
        </is>
      </c>
      <c r="D19" s="8">
        <f>$D$2+(B19-1)*7+MATCH(C19,Listas!$A$1:$A$5,0)-1</f>
        <v/>
      </c>
      <c r="E19" s="7" t="inlineStr">
        <is>
          <t>Como cuidamos</t>
        </is>
      </c>
      <c r="F19" s="9" t="inlineStr">
        <is>
          <t>O que o RH recebe: relatórios anonimizados e indicadores do grupo</t>
        </is>
      </c>
      <c r="G19" s="7" t="inlineStr">
        <is>
          <t>Saúde corporativa, NR-1 e B2B</t>
        </is>
      </c>
      <c r="H19" s="7" t="inlineStr">
        <is>
          <t>Carrossel</t>
        </is>
      </c>
      <c r="I19" s="7" t="inlineStr">
        <is>
          <t>4:5 · 1080x1350 · 8–10 slides · slide 2 entendível sozinho</t>
        </is>
      </c>
      <c r="J19" s="7" t="n"/>
      <c r="K19" s="7" t="n"/>
      <c r="L19" s="7" t="n"/>
      <c r="M19" s="7" t="n"/>
      <c r="N19" s="7" t="n"/>
      <c r="O19" s="7" t="n"/>
      <c r="P19" s="7" t="inlineStr">
        <is>
          <t>A fazer</t>
        </is>
      </c>
      <c r="Q19" s="7" t="n"/>
    </row>
    <row r="20" ht="30" customHeight="1">
      <c r="A20" s="10" t="n">
        <v>16</v>
      </c>
      <c r="B20" s="10" t="n">
        <v>4</v>
      </c>
      <c r="C20" s="11" t="inlineStr">
        <is>
          <t>Segunda</t>
        </is>
      </c>
      <c r="D20" s="12">
        <f>$D$2+(B20-1)*7+MATCH(C20,Listas!$A$1:$A$5,0)-1</f>
        <v/>
      </c>
      <c r="E20" s="11" t="inlineStr">
        <is>
          <t>Alimentação e hidratação</t>
        </is>
      </c>
      <c r="F20" s="13" t="inlineStr">
        <is>
          <t>O que atrapalha sua alimentação no trabalho? (enquete)</t>
        </is>
      </c>
      <c r="G20" s="11" t="inlineStr">
        <is>
          <t>Marca, relacionamento e diferenciação</t>
        </is>
      </c>
      <c r="H20" s="11" t="inlineStr">
        <is>
          <t>Carrossel</t>
        </is>
      </c>
      <c r="I20" s="11" t="inlineStr">
        <is>
          <t>4:5 · 1080x1350 · 8–10 slides · slide 2 entendível sozinho</t>
        </is>
      </c>
      <c r="J20" s="11" t="n"/>
      <c r="K20" s="11" t="n"/>
      <c r="L20" s="11" t="n"/>
      <c r="M20" s="11" t="n"/>
      <c r="N20" s="11" t="n"/>
      <c r="O20" s="11" t="n"/>
      <c r="P20" s="11" t="inlineStr">
        <is>
          <t>A fazer</t>
        </is>
      </c>
      <c r="Q20" s="11" t="n"/>
    </row>
    <row r="21" ht="30" customHeight="1">
      <c r="A21" s="10" t="n">
        <v>17</v>
      </c>
      <c r="B21" s="10" t="n">
        <v>4</v>
      </c>
      <c r="C21" s="11" t="inlineStr">
        <is>
          <t>Terça</t>
        </is>
      </c>
      <c r="D21" s="12">
        <f>$D$2+(B21-1)*7+MATCH(C21,Listas!$A$1:$A$5,0)-1</f>
        <v/>
      </c>
      <c r="E21" s="11" t="inlineStr">
        <is>
          <t>Alimentação e hidratação</t>
        </is>
      </c>
      <c r="F21" s="13" t="inlineStr">
        <is>
          <t>Hidratação no expediente</t>
        </is>
      </c>
      <c r="G21" s="11" t="inlineStr">
        <is>
          <t>Descoberta, educação e retenção</t>
        </is>
      </c>
      <c r="H21" s="11" t="inlineStr">
        <is>
          <t>Reel</t>
        </is>
      </c>
      <c r="I21" s="11" t="inlineStr">
        <is>
          <t>9:16 · 1080x1920 · 30–45 s · texto na tela desde o 1º quadro</t>
        </is>
      </c>
      <c r="J21" s="11" t="n"/>
      <c r="K21" s="11" t="n"/>
      <c r="L21" s="11" t="n"/>
      <c r="M21" s="11" t="n"/>
      <c r="N21" s="11" t="n"/>
      <c r="O21" s="11" t="n"/>
      <c r="P21" s="11" t="inlineStr">
        <is>
          <t>A fazer</t>
        </is>
      </c>
      <c r="Q21" s="11" t="n"/>
    </row>
    <row r="22" ht="30" customHeight="1">
      <c r="A22" s="10" t="n">
        <v>18</v>
      </c>
      <c r="B22" s="10" t="n">
        <v>4</v>
      </c>
      <c r="C22" s="11" t="inlineStr">
        <is>
          <t>Quarta</t>
        </is>
      </c>
      <c r="D22" s="12">
        <f>$D$2+(B22-1)*7+MATCH(C22,Listas!$A$1:$A$5,0)-1</f>
        <v/>
      </c>
      <c r="E22" s="11" t="inlineStr">
        <is>
          <t>Alimentação e hidratação</t>
        </is>
      </c>
      <c r="F22" s="13" t="inlineStr">
        <is>
          <t>Pilar 1: Alimentação</t>
        </is>
      </c>
      <c r="G22" s="11" t="inlineStr">
        <is>
          <t>Autoridade, salvamento e compartilhamento</t>
        </is>
      </c>
      <c r="H22" s="11" t="inlineStr">
        <is>
          <t>Carrossel</t>
        </is>
      </c>
      <c r="I22" s="11" t="inlineStr">
        <is>
          <t>4:5 · 1080x1350 · 8–10 slides · slide 2 entendível sozinho</t>
        </is>
      </c>
      <c r="J22" s="11" t="n"/>
      <c r="K22" s="11" t="n"/>
      <c r="L22" s="11" t="n"/>
      <c r="M22" s="11" t="n"/>
      <c r="N22" s="11" t="n"/>
      <c r="O22" s="11" t="n"/>
      <c r="P22" s="11" t="inlineStr">
        <is>
          <t>A fazer</t>
        </is>
      </c>
      <c r="Q22" s="11" t="n"/>
    </row>
    <row r="23" ht="30" customHeight="1">
      <c r="A23" s="10" t="n">
        <v>19</v>
      </c>
      <c r="B23" s="10" t="n">
        <v>4</v>
      </c>
      <c r="C23" s="11" t="inlineStr">
        <is>
          <t>Quinta</t>
        </is>
      </c>
      <c r="D23" s="12">
        <f>$D$2+(B23-1)*7+MATCH(C23,Listas!$A$1:$A$5,0)-1</f>
        <v/>
      </c>
      <c r="E23" s="11" t="inlineStr">
        <is>
          <t>Alimentação e hidratação</t>
        </is>
      </c>
      <c r="F23" s="13" t="inlineStr">
        <is>
          <t>Como o ambiente da empresa influencia o que comemos</t>
        </is>
      </c>
      <c r="G23" s="11" t="inlineStr">
        <is>
          <t>Pessoas, método, bastidores e prova</t>
        </is>
      </c>
      <c r="H23" s="11" t="inlineStr">
        <is>
          <t>Reel</t>
        </is>
      </c>
      <c r="I23" s="11" t="inlineStr">
        <is>
          <t>9:16 · 1080x1920 · 30–45 s · texto na tela desde o 1º quadro</t>
        </is>
      </c>
      <c r="J23" s="11" t="n"/>
      <c r="K23" s="11" t="n"/>
      <c r="L23" s="11" t="n"/>
      <c r="M23" s="11" t="n"/>
      <c r="N23" s="11" t="n"/>
      <c r="O23" s="11" t="n"/>
      <c r="P23" s="11" t="inlineStr">
        <is>
          <t>A fazer</t>
        </is>
      </c>
      <c r="Q23" s="11" t="n"/>
    </row>
    <row r="24" ht="30" customHeight="1">
      <c r="A24" s="10" t="n">
        <v>20</v>
      </c>
      <c r="B24" s="10" t="n">
        <v>4</v>
      </c>
      <c r="C24" s="11" t="inlineStr">
        <is>
          <t>Sexta</t>
        </is>
      </c>
      <c r="D24" s="12">
        <f>$D$2+(B24-1)*7+MATCH(C24,Listas!$A$1:$A$5,0)-1</f>
        <v/>
      </c>
      <c r="E24" s="11" t="inlineStr">
        <is>
          <t>Alimentação e hidratação</t>
        </is>
      </c>
      <c r="F24" s="13" t="inlineStr">
        <is>
          <t>Ambiente alimentar na empresa: ajustes que o RH pode fazer</t>
        </is>
      </c>
      <c r="G24" s="11" t="inlineStr">
        <is>
          <t>Saúde corporativa, NR-1 e B2B</t>
        </is>
      </c>
      <c r="H24" s="11" t="inlineStr">
        <is>
          <t>Carrossel</t>
        </is>
      </c>
      <c r="I24" s="11" t="inlineStr">
        <is>
          <t>4:5 · 1080x1350 · 8–10 slides · slide 2 entendível sozinho</t>
        </is>
      </c>
      <c r="J24" s="11" t="n"/>
      <c r="K24" s="11" t="n"/>
      <c r="L24" s="11" t="n"/>
      <c r="M24" s="11" t="n"/>
      <c r="N24" s="11" t="n"/>
      <c r="O24" s="11" t="n"/>
      <c r="P24" s="11" t="inlineStr">
        <is>
          <t>A fazer</t>
        </is>
      </c>
      <c r="Q24" s="11" t="n"/>
    </row>
    <row r="25" ht="30" customHeight="1">
      <c r="A25" s="6" t="n">
        <v>21</v>
      </c>
      <c r="B25" s="6" t="n">
        <v>5</v>
      </c>
      <c r="C25" s="7" t="inlineStr">
        <is>
          <t>Segunda</t>
        </is>
      </c>
      <c r="D25" s="8">
        <f>$D$2+(B25-1)*7+MATCH(C25,Listas!$A$1:$A$5,0)-1</f>
        <v/>
      </c>
      <c r="E25" s="7" t="inlineStr">
        <is>
          <t>Movimento</t>
        </is>
      </c>
      <c r="F25" s="9" t="inlineStr">
        <is>
          <t>Movimento que cabe na rotina: o que funciona para você?</t>
        </is>
      </c>
      <c r="G25" s="7" t="inlineStr">
        <is>
          <t>Marca, relacionamento e diferenciação</t>
        </is>
      </c>
      <c r="H25" s="7" t="inlineStr">
        <is>
          <t>Carrossel</t>
        </is>
      </c>
      <c r="I25" s="7" t="inlineStr">
        <is>
          <t>4:5 · 1080x1350 · 8–10 slides · slide 2 entendível sozinho</t>
        </is>
      </c>
      <c r="J25" s="7" t="n"/>
      <c r="K25" s="7" t="n"/>
      <c r="L25" s="7" t="n"/>
      <c r="M25" s="7" t="n"/>
      <c r="N25" s="7" t="n"/>
      <c r="O25" s="7" t="n"/>
      <c r="P25" s="7" t="inlineStr">
        <is>
          <t>A fazer</t>
        </is>
      </c>
      <c r="Q25" s="7" t="n"/>
    </row>
    <row r="26" ht="30" customHeight="1">
      <c r="A26" s="6" t="n">
        <v>22</v>
      </c>
      <c r="B26" s="6" t="n">
        <v>5</v>
      </c>
      <c r="C26" s="7" t="inlineStr">
        <is>
          <t>Terça</t>
        </is>
      </c>
      <c r="D26" s="8">
        <f>$D$2+(B26-1)*7+MATCH(C26,Listas!$A$1:$A$5,0)-1</f>
        <v/>
      </c>
      <c r="E26" s="7" t="inlineStr">
        <is>
          <t>Movimento</t>
        </is>
      </c>
      <c r="F26" s="9" t="inlineStr">
        <is>
          <t>Pausa ativa de 1 minuto na mesa</t>
        </is>
      </c>
      <c r="G26" s="7" t="inlineStr">
        <is>
          <t>Descoberta, educação e retenção</t>
        </is>
      </c>
      <c r="H26" s="7" t="inlineStr">
        <is>
          <t>Reel</t>
        </is>
      </c>
      <c r="I26" s="7" t="inlineStr">
        <is>
          <t>9:16 · 1080x1920 · 30–45 s · texto na tela desde o 1º quadro</t>
        </is>
      </c>
      <c r="J26" s="7" t="n"/>
      <c r="K26" s="7" t="n"/>
      <c r="L26" s="7" t="n"/>
      <c r="M26" s="7" t="n"/>
      <c r="N26" s="7" t="n"/>
      <c r="O26" s="7" t="n"/>
      <c r="P26" s="7" t="inlineStr">
        <is>
          <t>A fazer</t>
        </is>
      </c>
      <c r="Q26" s="7" t="n"/>
    </row>
    <row r="27" ht="30" customHeight="1">
      <c r="A27" s="6" t="n">
        <v>23</v>
      </c>
      <c r="B27" s="6" t="n">
        <v>5</v>
      </c>
      <c r="C27" s="7" t="inlineStr">
        <is>
          <t>Quarta</t>
        </is>
      </c>
      <c r="D27" s="8">
        <f>$D$2+(B27-1)*7+MATCH(C27,Listas!$A$1:$A$5,0)-1</f>
        <v/>
      </c>
      <c r="E27" s="7" t="inlineStr">
        <is>
          <t>Movimento</t>
        </is>
      </c>
      <c r="F27" s="9" t="inlineStr">
        <is>
          <t>Pilar 2: Atividade física</t>
        </is>
      </c>
      <c r="G27" s="7" t="inlineStr">
        <is>
          <t>Autoridade, salvamento e compartilhamento</t>
        </is>
      </c>
      <c r="H27" s="7" t="inlineStr">
        <is>
          <t>Carrossel</t>
        </is>
      </c>
      <c r="I27" s="7" t="inlineStr">
        <is>
          <t>4:5 · 1080x1350 · 8–10 slides · slide 2 entendível sozinho</t>
        </is>
      </c>
      <c r="J27" s="7" t="n"/>
      <c r="K27" s="7" t="n"/>
      <c r="L27" s="7" t="n"/>
      <c r="M27" s="7" t="n"/>
      <c r="N27" s="7" t="n"/>
      <c r="O27" s="7" t="n"/>
      <c r="P27" s="7" t="inlineStr">
        <is>
          <t>A fazer</t>
        </is>
      </c>
      <c r="Q27" s="7" t="n"/>
    </row>
    <row r="28" ht="30" customHeight="1">
      <c r="A28" s="6" t="n">
        <v>24</v>
      </c>
      <c r="B28" s="6" t="n">
        <v>5</v>
      </c>
      <c r="C28" s="7" t="inlineStr">
        <is>
          <t>Quinta</t>
        </is>
      </c>
      <c r="D28" s="8">
        <f>$D$2+(B28-1)*7+MATCH(C28,Listas!$A$1:$A$5,0)-1</f>
        <v/>
      </c>
      <c r="E28" s="7" t="inlineStr">
        <is>
          <t>Movimento</t>
        </is>
      </c>
      <c r="F28" s="9" t="inlineStr">
        <is>
          <t>Bioimpedância: o que ela mostra</t>
        </is>
      </c>
      <c r="G28" s="7" t="inlineStr">
        <is>
          <t>Pessoas, método, bastidores e prova</t>
        </is>
      </c>
      <c r="H28" s="7" t="inlineStr">
        <is>
          <t>Reel</t>
        </is>
      </c>
      <c r="I28" s="7" t="inlineStr">
        <is>
          <t>9:16 · 1080x1920 · 30–45 s · texto na tela desde o 1º quadro</t>
        </is>
      </c>
      <c r="J28" s="7" t="n"/>
      <c r="K28" s="7" t="n"/>
      <c r="L28" s="7" t="n"/>
      <c r="M28" s="7" t="n"/>
      <c r="N28" s="7" t="n"/>
      <c r="O28" s="7" t="n"/>
      <c r="P28" s="7" t="inlineStr">
        <is>
          <t>A fazer</t>
        </is>
      </c>
      <c r="Q28" s="7" t="n"/>
    </row>
    <row r="29" ht="30" customHeight="1">
      <c r="A29" s="6" t="n">
        <v>25</v>
      </c>
      <c r="B29" s="6" t="n">
        <v>5</v>
      </c>
      <c r="C29" s="7" t="inlineStr">
        <is>
          <t>Sexta</t>
        </is>
      </c>
      <c r="D29" s="8">
        <f>$D$2+(B29-1)*7+MATCH(C29,Listas!$A$1:$A$5,0)-1</f>
        <v/>
      </c>
      <c r="E29" s="7" t="inlineStr">
        <is>
          <t>Movimento</t>
        </is>
      </c>
      <c r="F29" s="9" t="inlineStr">
        <is>
          <t>Sedentarismo no trabalho: o que o RH pode estimular</t>
        </is>
      </c>
      <c r="G29" s="7" t="inlineStr">
        <is>
          <t>Saúde corporativa, NR-1 e B2B</t>
        </is>
      </c>
      <c r="H29" s="7" t="inlineStr">
        <is>
          <t>Carrossel</t>
        </is>
      </c>
      <c r="I29" s="7" t="inlineStr">
        <is>
          <t>4:5 · 1080x1350 · 8–10 slides · slide 2 entendível sozinho</t>
        </is>
      </c>
      <c r="J29" s="7" t="n"/>
      <c r="K29" s="7" t="n"/>
      <c r="L29" s="7" t="n"/>
      <c r="M29" s="7" t="n"/>
      <c r="N29" s="7" t="n"/>
      <c r="O29" s="7" t="n"/>
      <c r="P29" s="7" t="inlineStr">
        <is>
          <t>A fazer</t>
        </is>
      </c>
      <c r="Q29" s="7" t="n"/>
    </row>
    <row r="30" ht="30" customHeight="1">
      <c r="A30" s="10" t="n">
        <v>26</v>
      </c>
      <c r="B30" s="10" t="n">
        <v>6</v>
      </c>
      <c r="C30" s="11" t="inlineStr">
        <is>
          <t>Segunda</t>
        </is>
      </c>
      <c r="D30" s="12">
        <f>$D$2+(B30-1)*7+MATCH(C30,Listas!$A$1:$A$5,0)-1</f>
        <v/>
      </c>
      <c r="E30" s="11" t="inlineStr">
        <is>
          <t>Sono</t>
        </is>
      </c>
      <c r="F30" s="13" t="inlineStr">
        <is>
          <t>Como você dormiu esta semana? (enquete)</t>
        </is>
      </c>
      <c r="G30" s="11" t="inlineStr">
        <is>
          <t>Marca, relacionamento e diferenciação</t>
        </is>
      </c>
      <c r="H30" s="11" t="inlineStr">
        <is>
          <t>Carrossel</t>
        </is>
      </c>
      <c r="I30" s="11" t="inlineStr">
        <is>
          <t>4:5 · 1080x1350 · 8–10 slides · slide 2 entendível sozinho</t>
        </is>
      </c>
      <c r="J30" s="11" t="n"/>
      <c r="K30" s="11" t="n"/>
      <c r="L30" s="11" t="n"/>
      <c r="M30" s="11" t="n"/>
      <c r="N30" s="11" t="n"/>
      <c r="O30" s="11" t="n"/>
      <c r="P30" s="11" t="inlineStr">
        <is>
          <t>A fazer</t>
        </is>
      </c>
      <c r="Q30" s="11" t="n"/>
    </row>
    <row r="31" ht="30" customHeight="1">
      <c r="A31" s="10" t="n">
        <v>27</v>
      </c>
      <c r="B31" s="10" t="n">
        <v>6</v>
      </c>
      <c r="C31" s="11" t="inlineStr">
        <is>
          <t>Terça</t>
        </is>
      </c>
      <c r="D31" s="12">
        <f>$D$2+(B31-1)*7+MATCH(C31,Listas!$A$1:$A$5,0)-1</f>
        <v/>
      </c>
      <c r="E31" s="11" t="inlineStr">
        <is>
          <t>Sono</t>
        </is>
      </c>
      <c r="F31" s="13" t="inlineStr">
        <is>
          <t>Higiene do sono em 3 passos</t>
        </is>
      </c>
      <c r="G31" s="11" t="inlineStr">
        <is>
          <t>Descoberta, educação e retenção</t>
        </is>
      </c>
      <c r="H31" s="11" t="inlineStr">
        <is>
          <t>Reel</t>
        </is>
      </c>
      <c r="I31" s="11" t="inlineStr">
        <is>
          <t>9:16 · 1080x1920 · 30–45 s · texto na tela desde o 1º quadro</t>
        </is>
      </c>
      <c r="J31" s="11" t="n"/>
      <c r="K31" s="11" t="n"/>
      <c r="L31" s="11" t="n"/>
      <c r="M31" s="11" t="n"/>
      <c r="N31" s="11" t="n"/>
      <c r="O31" s="11" t="n"/>
      <c r="P31" s="11" t="inlineStr">
        <is>
          <t>A fazer</t>
        </is>
      </c>
      <c r="Q31" s="11" t="n"/>
    </row>
    <row r="32" ht="30" customHeight="1">
      <c r="A32" s="10" t="n">
        <v>28</v>
      </c>
      <c r="B32" s="10" t="n">
        <v>6</v>
      </c>
      <c r="C32" s="11" t="inlineStr">
        <is>
          <t>Quarta</t>
        </is>
      </c>
      <c r="D32" s="12">
        <f>$D$2+(B32-1)*7+MATCH(C32,Listas!$A$1:$A$5,0)-1</f>
        <v/>
      </c>
      <c r="E32" s="11" t="inlineStr">
        <is>
          <t>Sono</t>
        </is>
      </c>
      <c r="F32" s="13" t="inlineStr">
        <is>
          <t>Pilar 3: Sono reparador</t>
        </is>
      </c>
      <c r="G32" s="11" t="inlineStr">
        <is>
          <t>Autoridade, salvamento e compartilhamento</t>
        </is>
      </c>
      <c r="H32" s="11" t="inlineStr">
        <is>
          <t>Carrossel</t>
        </is>
      </c>
      <c r="I32" s="11" t="inlineStr">
        <is>
          <t>4:5 · 1080x1350 · 8–10 slides · slide 2 entendível sozinho</t>
        </is>
      </c>
      <c r="J32" s="11" t="n"/>
      <c r="K32" s="11" t="n"/>
      <c r="L32" s="11" t="n"/>
      <c r="M32" s="11" t="n"/>
      <c r="N32" s="11" t="n"/>
      <c r="O32" s="11" t="n"/>
      <c r="P32" s="11" t="inlineStr">
        <is>
          <t>A fazer</t>
        </is>
      </c>
      <c r="Q32" s="11" t="n"/>
    </row>
    <row r="33" ht="30" customHeight="1">
      <c r="A33" s="10" t="n">
        <v>29</v>
      </c>
      <c r="B33" s="10" t="n">
        <v>6</v>
      </c>
      <c r="C33" s="11" t="inlineStr">
        <is>
          <t>Quinta</t>
        </is>
      </c>
      <c r="D33" s="12">
        <f>$D$2+(B33-1)*7+MATCH(C33,Listas!$A$1:$A$5,0)-1</f>
        <v/>
      </c>
      <c r="E33" s="11" t="inlineStr">
        <is>
          <t>Sono</t>
        </is>
      </c>
      <c r="F33" s="13" t="inlineStr">
        <is>
          <t>O que a smartband mostra sobre o sono</t>
        </is>
      </c>
      <c r="G33" s="11" t="inlineStr">
        <is>
          <t>Pessoas, método, bastidores e prova</t>
        </is>
      </c>
      <c r="H33" s="11" t="inlineStr">
        <is>
          <t>Reel</t>
        </is>
      </c>
      <c r="I33" s="11" t="inlineStr">
        <is>
          <t>9:16 · 1080x1920 · 30–45 s · texto na tela desde o 1º quadro</t>
        </is>
      </c>
      <c r="J33" s="11" t="n"/>
      <c r="K33" s="11" t="n"/>
      <c r="L33" s="11" t="n"/>
      <c r="M33" s="11" t="n"/>
      <c r="N33" s="11" t="n"/>
      <c r="O33" s="11" t="n"/>
      <c r="P33" s="11" t="inlineStr">
        <is>
          <t>A fazer</t>
        </is>
      </c>
      <c r="Q33" s="11" t="n"/>
    </row>
    <row r="34" ht="30" customHeight="1">
      <c r="A34" s="10" t="n">
        <v>30</v>
      </c>
      <c r="B34" s="10" t="n">
        <v>6</v>
      </c>
      <c r="C34" s="11" t="inlineStr">
        <is>
          <t>Sexta</t>
        </is>
      </c>
      <c r="D34" s="12">
        <f>$D$2+(B34-1)*7+MATCH(C34,Listas!$A$1:$A$5,0)-1</f>
        <v/>
      </c>
      <c r="E34" s="11" t="inlineStr">
        <is>
          <t>Sono</t>
        </is>
      </c>
      <c r="F34" s="13" t="inlineStr">
        <is>
          <t>Sono, produtividade e segurança: atenção aos turnos na indústria</t>
        </is>
      </c>
      <c r="G34" s="11" t="inlineStr">
        <is>
          <t>Saúde corporativa, NR-1 e B2B</t>
        </is>
      </c>
      <c r="H34" s="11" t="inlineStr">
        <is>
          <t>Carrossel</t>
        </is>
      </c>
      <c r="I34" s="11" t="inlineStr">
        <is>
          <t>4:5 · 1080x1350 · 8–10 slides · slide 2 entendível sozinho</t>
        </is>
      </c>
      <c r="J34" s="11" t="n"/>
      <c r="K34" s="11" t="n"/>
      <c r="L34" s="11" t="n"/>
      <c r="M34" s="11" t="n"/>
      <c r="N34" s="11" t="n"/>
      <c r="O34" s="11" t="n"/>
      <c r="P34" s="11" t="inlineStr">
        <is>
          <t>A fazer</t>
        </is>
      </c>
      <c r="Q34" s="11" t="n"/>
    </row>
    <row r="35" ht="30" customHeight="1">
      <c r="A35" s="6" t="n">
        <v>31</v>
      </c>
      <c r="B35" s="6" t="n">
        <v>7</v>
      </c>
      <c r="C35" s="7" t="inlineStr">
        <is>
          <t>Segunda</t>
        </is>
      </c>
      <c r="D35" s="8">
        <f>$D$2+(B35-1)*7+MATCH(C35,Listas!$A$1:$A$5,0)-1</f>
        <v/>
      </c>
      <c r="E35" s="7" t="inlineStr">
        <is>
          <t>Estresse e saúde mental</t>
        </is>
      </c>
      <c r="F35" s="9" t="inlineStr">
        <is>
          <t>O que mais pesa na sua semana? (caixa de perguntas)</t>
        </is>
      </c>
      <c r="G35" s="7" t="inlineStr">
        <is>
          <t>Marca, relacionamento e diferenciação</t>
        </is>
      </c>
      <c r="H35" s="7" t="inlineStr">
        <is>
          <t>Carrossel</t>
        </is>
      </c>
      <c r="I35" s="7" t="inlineStr">
        <is>
          <t>4:5 · 1080x1350 · 8–10 slides · slide 2 entendível sozinho</t>
        </is>
      </c>
      <c r="J35" s="7" t="n"/>
      <c r="K35" s="7" t="n"/>
      <c r="L35" s="7" t="n"/>
      <c r="M35" s="7" t="n"/>
      <c r="N35" s="7" t="n"/>
      <c r="O35" s="7" t="n"/>
      <c r="P35" s="7" t="inlineStr">
        <is>
          <t>A fazer</t>
        </is>
      </c>
      <c r="Q35" s="7" t="n"/>
    </row>
    <row r="36" ht="30" customHeight="1">
      <c r="A36" s="6" t="n">
        <v>32</v>
      </c>
      <c r="B36" s="6" t="n">
        <v>7</v>
      </c>
      <c r="C36" s="7" t="inlineStr">
        <is>
          <t>Terça</t>
        </is>
      </c>
      <c r="D36" s="8">
        <f>$D$2+(B36-1)*7+MATCH(C36,Listas!$A$1:$A$5,0)-1</f>
        <v/>
      </c>
      <c r="E36" s="7" t="inlineStr">
        <is>
          <t>Estresse e saúde mental</t>
        </is>
      </c>
      <c r="F36" s="9" t="inlineStr">
        <is>
          <t>Respiração para momentos de tensão</t>
        </is>
      </c>
      <c r="G36" s="7" t="inlineStr">
        <is>
          <t>Descoberta, educação e retenção</t>
        </is>
      </c>
      <c r="H36" s="7" t="inlineStr">
        <is>
          <t>Reel</t>
        </is>
      </c>
      <c r="I36" s="7" t="inlineStr">
        <is>
          <t>9:16 · 1080x1920 · 30–45 s · texto na tela desde o 1º quadro</t>
        </is>
      </c>
      <c r="J36" s="7" t="n"/>
      <c r="K36" s="7" t="n"/>
      <c r="L36" s="7" t="n"/>
      <c r="M36" s="7" t="n"/>
      <c r="N36" s="7" t="n"/>
      <c r="O36" s="7" t="n"/>
      <c r="P36" s="7" t="inlineStr">
        <is>
          <t>A fazer</t>
        </is>
      </c>
      <c r="Q36" s="7" t="n"/>
    </row>
    <row r="37" ht="30" customHeight="1">
      <c r="A37" s="6" t="n">
        <v>33</v>
      </c>
      <c r="B37" s="6" t="n">
        <v>7</v>
      </c>
      <c r="C37" s="7" t="inlineStr">
        <is>
          <t>Quarta</t>
        </is>
      </c>
      <c r="D37" s="8">
        <f>$D$2+(B37-1)*7+MATCH(C37,Listas!$A$1:$A$5,0)-1</f>
        <v/>
      </c>
      <c r="E37" s="7" t="inlineStr">
        <is>
          <t>Estresse e saúde mental</t>
        </is>
      </c>
      <c r="F37" s="9" t="inlineStr">
        <is>
          <t>Pilar 4: Saúde mental e estresse (com CVV 188)</t>
        </is>
      </c>
      <c r="G37" s="7" t="inlineStr">
        <is>
          <t>Autoridade, salvamento e compartilhamento</t>
        </is>
      </c>
      <c r="H37" s="7" t="inlineStr">
        <is>
          <t>Carrossel</t>
        </is>
      </c>
      <c r="I37" s="7" t="inlineStr">
        <is>
          <t>4:5 · 1080x1350 · 8–10 slides · slide 2 entendível sozinho</t>
        </is>
      </c>
      <c r="J37" s="7" t="n"/>
      <c r="K37" s="7" t="n"/>
      <c r="L37" s="7" t="n"/>
      <c r="M37" s="7" t="n"/>
      <c r="N37" s="7" t="n"/>
      <c r="O37" s="7" t="n"/>
      <c r="P37" s="7" t="inlineStr">
        <is>
          <t>A fazer</t>
        </is>
      </c>
      <c r="Q37" s="7" t="n"/>
    </row>
    <row r="38" ht="30" customHeight="1">
      <c r="A38" s="6" t="n">
        <v>34</v>
      </c>
      <c r="B38" s="6" t="n">
        <v>7</v>
      </c>
      <c r="C38" s="7" t="inlineStr">
        <is>
          <t>Quinta</t>
        </is>
      </c>
      <c r="D38" s="8">
        <f>$D$2+(B38-1)*7+MATCH(C38,Listas!$A$1:$A$5,0)-1</f>
        <v/>
      </c>
      <c r="E38" s="7" t="inlineStr">
        <is>
          <t>Estresse e saúde mental</t>
        </is>
      </c>
      <c r="F38" s="9" t="inlineStr">
        <is>
          <t>Como funciona o atendimento psicológico (confidencialidade)</t>
        </is>
      </c>
      <c r="G38" s="7" t="inlineStr">
        <is>
          <t>Pessoas, método, bastidores e prova</t>
        </is>
      </c>
      <c r="H38" s="7" t="inlineStr">
        <is>
          <t>Reel</t>
        </is>
      </c>
      <c r="I38" s="7" t="inlineStr">
        <is>
          <t>9:16 · 1080x1920 · 30–45 s · texto na tela desde o 1º quadro</t>
        </is>
      </c>
      <c r="J38" s="7" t="n"/>
      <c r="K38" s="7" t="n"/>
      <c r="L38" s="7" t="n"/>
      <c r="M38" s="7" t="n"/>
      <c r="N38" s="7" t="n"/>
      <c r="O38" s="7" t="n"/>
      <c r="P38" s="7" t="inlineStr">
        <is>
          <t>A fazer</t>
        </is>
      </c>
      <c r="Q38" s="7" t="n"/>
    </row>
    <row r="39" ht="30" customHeight="1">
      <c r="A39" s="6" t="n">
        <v>35</v>
      </c>
      <c r="B39" s="6" t="n">
        <v>7</v>
      </c>
      <c r="C39" s="7" t="inlineStr">
        <is>
          <t>Sexta</t>
        </is>
      </c>
      <c r="D39" s="8">
        <f>$D$2+(B39-1)*7+MATCH(C39,Listas!$A$1:$A$5,0)-1</f>
        <v/>
      </c>
      <c r="E39" s="7" t="inlineStr">
        <is>
          <t>Estresse e saúde mental</t>
        </is>
      </c>
      <c r="F39" s="9" t="inlineStr">
        <is>
          <t>NR-1 e riscos psicossociais: o que muda para o RH</t>
        </is>
      </c>
      <c r="G39" s="7" t="inlineStr">
        <is>
          <t>Saúde corporativa, NR-1 e B2B</t>
        </is>
      </c>
      <c r="H39" s="7" t="inlineStr">
        <is>
          <t>Carrossel</t>
        </is>
      </c>
      <c r="I39" s="7" t="inlineStr">
        <is>
          <t>4:5 · 1080x1350 · 8–10 slides · slide 2 entendível sozinho</t>
        </is>
      </c>
      <c r="J39" s="7" t="n"/>
      <c r="K39" s="7" t="n"/>
      <c r="L39" s="7" t="n"/>
      <c r="M39" s="7" t="n"/>
      <c r="N39" s="7" t="n"/>
      <c r="O39" s="7" t="n"/>
      <c r="P39" s="7" t="inlineStr">
        <is>
          <t>A fazer</t>
        </is>
      </c>
      <c r="Q39" s="7" t="n"/>
    </row>
    <row r="40" ht="30" customHeight="1">
      <c r="A40" s="10" t="n">
        <v>36</v>
      </c>
      <c r="B40" s="10" t="n">
        <v>8</v>
      </c>
      <c r="C40" s="11" t="inlineStr">
        <is>
          <t>Segunda</t>
        </is>
      </c>
      <c r="D40" s="12">
        <f>$D$2+(B40-1)*7+MATCH(C40,Listas!$A$1:$A$5,0)-1</f>
        <v/>
      </c>
      <c r="E40" s="11" t="inlineStr">
        <is>
          <t>Relacionamentos e propósito</t>
        </is>
      </c>
      <c r="F40" s="13" t="inlineStr">
        <is>
          <t>Quem faz diferença no seu dia de trabalho?</t>
        </is>
      </c>
      <c r="G40" s="11" t="inlineStr">
        <is>
          <t>Marca, relacionamento e diferenciação</t>
        </is>
      </c>
      <c r="H40" s="11" t="inlineStr">
        <is>
          <t>Carrossel</t>
        </is>
      </c>
      <c r="I40" s="11" t="inlineStr">
        <is>
          <t>4:5 · 1080x1350 · 8–10 slides · slide 2 entendível sozinho</t>
        </is>
      </c>
      <c r="J40" s="11" t="n"/>
      <c r="K40" s="11" t="n"/>
      <c r="L40" s="11" t="n"/>
      <c r="M40" s="11" t="n"/>
      <c r="N40" s="11" t="n"/>
      <c r="O40" s="11" t="n"/>
      <c r="P40" s="11" t="inlineStr">
        <is>
          <t>A fazer</t>
        </is>
      </c>
      <c r="Q40" s="11" t="n"/>
    </row>
    <row r="41" ht="30" customHeight="1">
      <c r="A41" s="10" t="n">
        <v>37</v>
      </c>
      <c r="B41" s="10" t="n">
        <v>8</v>
      </c>
      <c r="C41" s="11" t="inlineStr">
        <is>
          <t>Terça</t>
        </is>
      </c>
      <c r="D41" s="12">
        <f>$D$2+(B41-1)*7+MATCH(C41,Listas!$A$1:$A$5,0)-1</f>
        <v/>
      </c>
      <c r="E41" s="11" t="inlineStr">
        <is>
          <t>Relacionamentos e propósito</t>
        </is>
      </c>
      <c r="F41" s="13" t="inlineStr">
        <is>
          <t>Conexões no trabalho também são saúde</t>
        </is>
      </c>
      <c r="G41" s="11" t="inlineStr">
        <is>
          <t>Descoberta, educação e retenção</t>
        </is>
      </c>
      <c r="H41" s="11" t="inlineStr">
        <is>
          <t>Reel</t>
        </is>
      </c>
      <c r="I41" s="11" t="inlineStr">
        <is>
          <t>9:16 · 1080x1920 · 30–45 s · texto na tela desde o 1º quadro</t>
        </is>
      </c>
      <c r="J41" s="11" t="n"/>
      <c r="K41" s="11" t="n"/>
      <c r="L41" s="11" t="n"/>
      <c r="M41" s="11" t="n"/>
      <c r="N41" s="11" t="n"/>
      <c r="O41" s="11" t="n"/>
      <c r="P41" s="11" t="inlineStr">
        <is>
          <t>A fazer</t>
        </is>
      </c>
      <c r="Q41" s="11" t="n"/>
    </row>
    <row r="42" ht="30" customHeight="1">
      <c r="A42" s="10" t="n">
        <v>38</v>
      </c>
      <c r="B42" s="10" t="n">
        <v>8</v>
      </c>
      <c r="C42" s="11" t="inlineStr">
        <is>
          <t>Quarta</t>
        </is>
      </c>
      <c r="D42" s="12">
        <f>$D$2+(B42-1)*7+MATCH(C42,Listas!$A$1:$A$5,0)-1</f>
        <v/>
      </c>
      <c r="E42" s="11" t="inlineStr">
        <is>
          <t>Relacionamentos e propósito</t>
        </is>
      </c>
      <c r="F42" s="13" t="inlineStr">
        <is>
          <t>Pilares 6 e 7: Relações sociais e Propósito</t>
        </is>
      </c>
      <c r="G42" s="11" t="inlineStr">
        <is>
          <t>Autoridade, salvamento e compartilhamento</t>
        </is>
      </c>
      <c r="H42" s="11" t="inlineStr">
        <is>
          <t>Carrossel</t>
        </is>
      </c>
      <c r="I42" s="11" t="inlineStr">
        <is>
          <t>4:5 · 1080x1350 · 8–10 slides · slide 2 entendível sozinho</t>
        </is>
      </c>
      <c r="J42" s="11" t="n"/>
      <c r="K42" s="11" t="n"/>
      <c r="L42" s="11" t="n"/>
      <c r="M42" s="11" t="n"/>
      <c r="N42" s="11" t="n"/>
      <c r="O42" s="11" t="n"/>
      <c r="P42" s="11" t="inlineStr">
        <is>
          <t>A fazer</t>
        </is>
      </c>
      <c r="Q42" s="11" t="n"/>
    </row>
    <row r="43" ht="30" customHeight="1">
      <c r="A43" s="10" t="n">
        <v>39</v>
      </c>
      <c r="B43" s="10" t="n">
        <v>8</v>
      </c>
      <c r="C43" s="11" t="inlineStr">
        <is>
          <t>Quinta</t>
        </is>
      </c>
      <c r="D43" s="12">
        <f>$D$2+(B43-1)*7+MATCH(C43,Listas!$A$1:$A$5,0)-1</f>
        <v/>
      </c>
      <c r="E43" s="11" t="inlineStr">
        <is>
          <t>Relacionamentos e propósito</t>
        </is>
      </c>
      <c r="F43" s="13" t="inlineStr">
        <is>
          <t>Um dia com o time da FAIR HEALTH</t>
        </is>
      </c>
      <c r="G43" s="11" t="inlineStr">
        <is>
          <t>Pessoas, método, bastidores e prova</t>
        </is>
      </c>
      <c r="H43" s="11" t="inlineStr">
        <is>
          <t>Reel</t>
        </is>
      </c>
      <c r="I43" s="11" t="inlineStr">
        <is>
          <t>9:16 · 1080x1920 · 30–45 s · texto na tela desde o 1º quadro</t>
        </is>
      </c>
      <c r="J43" s="11" t="n"/>
      <c r="K43" s="11" t="n"/>
      <c r="L43" s="11" t="n"/>
      <c r="M43" s="11" t="n"/>
      <c r="N43" s="11" t="n"/>
      <c r="O43" s="11" t="n"/>
      <c r="P43" s="11" t="inlineStr">
        <is>
          <t>A fazer</t>
        </is>
      </c>
      <c r="Q43" s="11" t="n"/>
    </row>
    <row r="44" ht="30" customHeight="1">
      <c r="A44" s="10" t="n">
        <v>40</v>
      </c>
      <c r="B44" s="10" t="n">
        <v>8</v>
      </c>
      <c r="C44" s="11" t="inlineStr">
        <is>
          <t>Sexta</t>
        </is>
      </c>
      <c r="D44" s="12">
        <f>$D$2+(B44-1)*7+MATCH(C44,Listas!$A$1:$A$5,0)-1</f>
        <v/>
      </c>
      <c r="E44" s="11" t="inlineStr">
        <is>
          <t>Relacionamentos e propósito</t>
        </is>
      </c>
      <c r="F44" s="13" t="inlineStr">
        <is>
          <t>Pertencimento, clima e retenção: o papel da liderança</t>
        </is>
      </c>
      <c r="G44" s="11" t="inlineStr">
        <is>
          <t>Saúde corporativa, NR-1 e B2B</t>
        </is>
      </c>
      <c r="H44" s="11" t="inlineStr">
        <is>
          <t>Carrossel</t>
        </is>
      </c>
      <c r="I44" s="11" t="inlineStr">
        <is>
          <t>4:5 · 1080x1350 · 8–10 slides · slide 2 entendível sozinho</t>
        </is>
      </c>
      <c r="J44" s="11" t="n"/>
      <c r="K44" s="11" t="n"/>
      <c r="L44" s="11" t="n"/>
      <c r="M44" s="11" t="n"/>
      <c r="N44" s="11" t="n"/>
      <c r="O44" s="11" t="n"/>
      <c r="P44" s="11" t="inlineStr">
        <is>
          <t>A fazer</t>
        </is>
      </c>
      <c r="Q44" s="11" t="n"/>
    </row>
    <row r="45" ht="30" customHeight="1">
      <c r="A45" s="6" t="n">
        <v>41</v>
      </c>
      <c r="B45" s="6" t="n">
        <v>9</v>
      </c>
      <c r="C45" s="7" t="inlineStr">
        <is>
          <t>Segunda</t>
        </is>
      </c>
      <c r="D45" s="8">
        <f>$D$2+(B45-1)*7+MATCH(C45,Listas!$A$1:$A$5,0)-1</f>
        <v/>
      </c>
      <c r="E45" s="7" t="inlineStr">
        <is>
          <t>Tecnologia que aproxima</t>
        </is>
      </c>
      <c r="F45" s="9" t="inlineStr">
        <is>
          <t>Tecnologia que aproxima: dados a favor da pessoa</t>
        </is>
      </c>
      <c r="G45" s="7" t="inlineStr">
        <is>
          <t>Marca, relacionamento e diferenciação</t>
        </is>
      </c>
      <c r="H45" s="7" t="inlineStr">
        <is>
          <t>Carrossel</t>
        </is>
      </c>
      <c r="I45" s="7" t="inlineStr">
        <is>
          <t>4:5 · 1080x1350 · 8–10 slides · slide 2 entendível sozinho</t>
        </is>
      </c>
      <c r="J45" s="7" t="n"/>
      <c r="K45" s="7" t="n"/>
      <c r="L45" s="7" t="n"/>
      <c r="M45" s="7" t="n"/>
      <c r="N45" s="7" t="n"/>
      <c r="O45" s="7" t="n"/>
      <c r="P45" s="7" t="inlineStr">
        <is>
          <t>A fazer</t>
        </is>
      </c>
      <c r="Q45" s="7" t="n"/>
    </row>
    <row r="46" ht="30" customHeight="1">
      <c r="A46" s="6" t="n">
        <v>42</v>
      </c>
      <c r="B46" s="6" t="n">
        <v>9</v>
      </c>
      <c r="C46" s="7" t="inlineStr">
        <is>
          <t>Terça</t>
        </is>
      </c>
      <c r="D46" s="8">
        <f>$D$2+(B46-1)*7+MATCH(C46,Listas!$A$1:$A$5,0)-1</f>
        <v/>
      </c>
      <c r="E46" s="7" t="inlineStr">
        <is>
          <t>Tecnologia que aproxima</t>
        </is>
      </c>
      <c r="F46" s="9" t="inlineStr">
        <is>
          <t>Wearables: o que medem e por que usamos</t>
        </is>
      </c>
      <c r="G46" s="7" t="inlineStr">
        <is>
          <t>Descoberta, educação e retenção</t>
        </is>
      </c>
      <c r="H46" s="7" t="inlineStr">
        <is>
          <t>Reel</t>
        </is>
      </c>
      <c r="I46" s="7" t="inlineStr">
        <is>
          <t>9:16 · 1080x1920 · 30–45 s · texto na tela desde o 1º quadro</t>
        </is>
      </c>
      <c r="J46" s="7" t="n"/>
      <c r="K46" s="7" t="n"/>
      <c r="L46" s="7" t="n"/>
      <c r="M46" s="7" t="n"/>
      <c r="N46" s="7" t="n"/>
      <c r="O46" s="7" t="n"/>
      <c r="P46" s="7" t="inlineStr">
        <is>
          <t>A fazer</t>
        </is>
      </c>
      <c r="Q46" s="7" t="n"/>
    </row>
    <row r="47" ht="30" customHeight="1">
      <c r="A47" s="6" t="n">
        <v>43</v>
      </c>
      <c r="B47" s="6" t="n">
        <v>9</v>
      </c>
      <c r="C47" s="7" t="inlineStr">
        <is>
          <t>Quarta</t>
        </is>
      </c>
      <c r="D47" s="8">
        <f>$D$2+(B47-1)*7+MATCH(C47,Listas!$A$1:$A$5,0)-1</f>
        <v/>
      </c>
      <c r="E47" s="7" t="inlineStr">
        <is>
          <t>Tecnologia que aproxima</t>
        </is>
      </c>
      <c r="F47" s="9" t="inlineStr">
        <is>
          <t>Wearables no Escritório do Cuidado (carrossel pronto)</t>
        </is>
      </c>
      <c r="G47" s="7" t="inlineStr">
        <is>
          <t>Autoridade, salvamento e compartilhamento</t>
        </is>
      </c>
      <c r="H47" s="7" t="inlineStr">
        <is>
          <t>Carrossel</t>
        </is>
      </c>
      <c r="I47" s="7" t="inlineStr">
        <is>
          <t>4:5 · 1080x1350 · 8–10 slides · slide 2 entendível sozinho</t>
        </is>
      </c>
      <c r="J47" s="7" t="n"/>
      <c r="K47" s="7" t="n"/>
      <c r="L47" s="7" t="n"/>
      <c r="M47" s="7" t="n"/>
      <c r="N47" s="7" t="n"/>
      <c r="O47" s="7" t="n"/>
      <c r="P47" s="7" t="inlineStr">
        <is>
          <t>A fazer</t>
        </is>
      </c>
      <c r="Q47" s="7" t="n"/>
    </row>
    <row r="48" ht="30" customHeight="1">
      <c r="A48" s="6" t="n">
        <v>44</v>
      </c>
      <c r="B48" s="6" t="n">
        <v>9</v>
      </c>
      <c r="C48" s="7" t="inlineStr">
        <is>
          <t>Quinta</t>
        </is>
      </c>
      <c r="D48" s="8">
        <f>$D$2+(B48-1)*7+MATCH(C48,Listas!$A$1:$A$5,0)-1</f>
        <v/>
      </c>
      <c r="E48" s="7" t="inlineStr">
        <is>
          <t>Tecnologia que aproxima</t>
        </is>
      </c>
      <c r="F48" s="9" t="inlineStr">
        <is>
          <t>A plataforma por dentro: prontuário, histórico e metas</t>
        </is>
      </c>
      <c r="G48" s="7" t="inlineStr">
        <is>
          <t>Pessoas, método, bastidores e prova</t>
        </is>
      </c>
      <c r="H48" s="7" t="inlineStr">
        <is>
          <t>Reel</t>
        </is>
      </c>
      <c r="I48" s="7" t="inlineStr">
        <is>
          <t>9:16 · 1080x1920 · 30–45 s · texto na tela desde o 1º quadro</t>
        </is>
      </c>
      <c r="J48" s="7" t="n"/>
      <c r="K48" s="7" t="n"/>
      <c r="L48" s="7" t="n"/>
      <c r="M48" s="7" t="n"/>
      <c r="N48" s="7" t="n"/>
      <c r="O48" s="7" t="n"/>
      <c r="P48" s="7" t="inlineStr">
        <is>
          <t>A fazer</t>
        </is>
      </c>
      <c r="Q48" s="7" t="n"/>
    </row>
    <row r="49" ht="30" customHeight="1">
      <c r="A49" s="6" t="n">
        <v>45</v>
      </c>
      <c r="B49" s="6" t="n">
        <v>9</v>
      </c>
      <c r="C49" s="7" t="inlineStr">
        <is>
          <t>Sexta</t>
        </is>
      </c>
      <c r="D49" s="8">
        <f>$D$2+(B49-1)*7+MATCH(C49,Listas!$A$1:$A$5,0)-1</f>
        <v/>
      </c>
      <c r="E49" s="7" t="inlineStr">
        <is>
          <t>Tecnologia que aproxima</t>
        </is>
      </c>
      <c r="F49" s="9" t="inlineStr">
        <is>
          <t>Dados anonimizados e LGPD: o que o RH vê e o que não vê</t>
        </is>
      </c>
      <c r="G49" s="7" t="inlineStr">
        <is>
          <t>Saúde corporativa, NR-1 e B2B</t>
        </is>
      </c>
      <c r="H49" s="7" t="inlineStr">
        <is>
          <t>Carrossel</t>
        </is>
      </c>
      <c r="I49" s="7" t="inlineStr">
        <is>
          <t>4:5 · 1080x1350 · 8–10 slides · slide 2 entendível sozinho</t>
        </is>
      </c>
      <c r="J49" s="7" t="n"/>
      <c r="K49" s="7" t="n"/>
      <c r="L49" s="7" t="n"/>
      <c r="M49" s="7" t="n"/>
      <c r="N49" s="7" t="n"/>
      <c r="O49" s="7" t="n"/>
      <c r="P49" s="7" t="inlineStr">
        <is>
          <t>A fazer</t>
        </is>
      </c>
      <c r="Q49" s="7" t="n"/>
    </row>
    <row r="50" ht="30" customHeight="1">
      <c r="A50" s="10" t="n">
        <v>46</v>
      </c>
      <c r="B50" s="10" t="n">
        <v>10</v>
      </c>
      <c r="C50" s="11" t="inlineStr">
        <is>
          <t>Segunda</t>
        </is>
      </c>
      <c r="D50" s="12">
        <f>$D$2+(B50-1)*7+MATCH(C50,Listas!$A$1:$A$5,0)-1</f>
        <v/>
      </c>
      <c r="E50" s="11" t="inlineStr">
        <is>
          <t>Plano individualizado</t>
        </is>
      </c>
      <c r="F50" s="13" t="inlineStr">
        <is>
          <t>Metas que são suas: decisão compartilhada</t>
        </is>
      </c>
      <c r="G50" s="11" t="inlineStr">
        <is>
          <t>Marca, relacionamento e diferenciação</t>
        </is>
      </c>
      <c r="H50" s="11" t="inlineStr">
        <is>
          <t>Carrossel</t>
        </is>
      </c>
      <c r="I50" s="11" t="inlineStr">
        <is>
          <t>4:5 · 1080x1350 · 8–10 slides · slide 2 entendível sozinho</t>
        </is>
      </c>
      <c r="J50" s="11" t="n"/>
      <c r="K50" s="11" t="n"/>
      <c r="L50" s="11" t="n"/>
      <c r="M50" s="11" t="n"/>
      <c r="N50" s="11" t="n"/>
      <c r="O50" s="11" t="n"/>
      <c r="P50" s="11" t="inlineStr">
        <is>
          <t>A fazer</t>
        </is>
      </c>
      <c r="Q50" s="11" t="n"/>
    </row>
    <row r="51" ht="30" customHeight="1">
      <c r="A51" s="10" t="n">
        <v>47</v>
      </c>
      <c r="B51" s="10" t="n">
        <v>10</v>
      </c>
      <c r="C51" s="11" t="inlineStr">
        <is>
          <t>Terça</t>
        </is>
      </c>
      <c r="D51" s="12">
        <f>$D$2+(B51-1)*7+MATCH(C51,Listas!$A$1:$A$5,0)-1</f>
        <v/>
      </c>
      <c r="E51" s="11" t="inlineStr">
        <is>
          <t>Plano individualizado</t>
        </is>
      </c>
      <c r="F51" s="13" t="inlineStr">
        <is>
          <t>Como definir uma meta de saúde possível</t>
        </is>
      </c>
      <c r="G51" s="11" t="inlineStr">
        <is>
          <t>Descoberta, educação e retenção</t>
        </is>
      </c>
      <c r="H51" s="11" t="inlineStr">
        <is>
          <t>Reel</t>
        </is>
      </c>
      <c r="I51" s="11" t="inlineStr">
        <is>
          <t>9:16 · 1080x1920 · 30–45 s · texto na tela desde o 1º quadro</t>
        </is>
      </c>
      <c r="J51" s="11" t="n"/>
      <c r="K51" s="11" t="n"/>
      <c r="L51" s="11" t="n"/>
      <c r="M51" s="11" t="n"/>
      <c r="N51" s="11" t="n"/>
      <c r="O51" s="11" t="n"/>
      <c r="P51" s="11" t="inlineStr">
        <is>
          <t>A fazer</t>
        </is>
      </c>
      <c r="Q51" s="11" t="n"/>
    </row>
    <row r="52" ht="30" customHeight="1">
      <c r="A52" s="10" t="n">
        <v>48</v>
      </c>
      <c r="B52" s="10" t="n">
        <v>10</v>
      </c>
      <c r="C52" s="11" t="inlineStr">
        <is>
          <t>Quarta</t>
        </is>
      </c>
      <c r="D52" s="12">
        <f>$D$2+(B52-1)*7+MATCH(C52,Listas!$A$1:$A$5,0)-1</f>
        <v/>
      </c>
      <c r="E52" s="11" t="inlineStr">
        <is>
          <t>Plano individualizado</t>
        </is>
      </c>
      <c r="F52" s="13" t="inlineStr">
        <is>
          <t>Adesão e retorno: Chemitec, 1º semestre de 2026</t>
        </is>
      </c>
      <c r="G52" s="11" t="inlineStr">
        <is>
          <t>Autoridade, salvamento e compartilhamento</t>
        </is>
      </c>
      <c r="H52" s="11" t="inlineStr">
        <is>
          <t>Carrossel</t>
        </is>
      </c>
      <c r="I52" s="11" t="inlineStr">
        <is>
          <t>4:5 · 1080x1350 · 8–10 slides · slide 2 entendível sozinho</t>
        </is>
      </c>
      <c r="J52" s="11" t="n"/>
      <c r="K52" s="11" t="n"/>
      <c r="L52" s="11" t="n"/>
      <c r="M52" s="11" t="n"/>
      <c r="N52" s="11" t="n"/>
      <c r="O52" s="11" t="n"/>
      <c r="P52" s="11" t="inlineStr">
        <is>
          <t>A fazer</t>
        </is>
      </c>
      <c r="Q52" s="11" t="n"/>
    </row>
    <row r="53" ht="30" customHeight="1">
      <c r="A53" s="10" t="n">
        <v>49</v>
      </c>
      <c r="B53" s="10" t="n">
        <v>10</v>
      </c>
      <c r="C53" s="11" t="inlineStr">
        <is>
          <t>Quinta</t>
        </is>
      </c>
      <c r="D53" s="12">
        <f>$D$2+(B53-1)*7+MATCH(C53,Listas!$A$1:$A$5,0)-1</f>
        <v/>
      </c>
      <c r="E53" s="11" t="inlineStr">
        <is>
          <t>Plano individualizado</t>
        </is>
      </c>
      <c r="F53" s="13" t="inlineStr">
        <is>
          <t>Da avaliação ao acompanhamento: a jornada de uma pessoa</t>
        </is>
      </c>
      <c r="G53" s="11" t="inlineStr">
        <is>
          <t>Pessoas, método, bastidores e prova</t>
        </is>
      </c>
      <c r="H53" s="11" t="inlineStr">
        <is>
          <t>Reel</t>
        </is>
      </c>
      <c r="I53" s="11" t="inlineStr">
        <is>
          <t>9:16 · 1080x1920 · 30–45 s · texto na tela desde o 1º quadro</t>
        </is>
      </c>
      <c r="J53" s="11" t="n"/>
      <c r="K53" s="11" t="n"/>
      <c r="L53" s="11" t="n"/>
      <c r="M53" s="11" t="n"/>
      <c r="N53" s="11" t="n"/>
      <c r="O53" s="11" t="n"/>
      <c r="P53" s="11" t="inlineStr">
        <is>
          <t>A fazer</t>
        </is>
      </c>
      <c r="Q53" s="11" t="n"/>
    </row>
    <row r="54" ht="30" customHeight="1">
      <c r="A54" s="10" t="n">
        <v>50</v>
      </c>
      <c r="B54" s="10" t="n">
        <v>10</v>
      </c>
      <c r="C54" s="11" t="inlineStr">
        <is>
          <t>Sexta</t>
        </is>
      </c>
      <c r="D54" s="12">
        <f>$D$2+(B54-1)*7+MATCH(C54,Listas!$A$1:$A$5,0)-1</f>
        <v/>
      </c>
      <c r="E54" s="11" t="inlineStr">
        <is>
          <t>Plano individualizado</t>
        </is>
      </c>
      <c r="F54" s="13" t="inlineStr">
        <is>
          <t>Personalização em escala: 50 ou 500 colaboradores</t>
        </is>
      </c>
      <c r="G54" s="11" t="inlineStr">
        <is>
          <t>Saúde corporativa, NR-1 e B2B</t>
        </is>
      </c>
      <c r="H54" s="11" t="inlineStr">
        <is>
          <t>Carrossel</t>
        </is>
      </c>
      <c r="I54" s="11" t="inlineStr">
        <is>
          <t>4:5 · 1080x1350 · 8–10 slides · slide 2 entendível sozinho</t>
        </is>
      </c>
      <c r="J54" s="11" t="n"/>
      <c r="K54" s="11" t="n"/>
      <c r="L54" s="11" t="n"/>
      <c r="M54" s="11" t="n"/>
      <c r="N54" s="11" t="n"/>
      <c r="O54" s="11" t="n"/>
      <c r="P54" s="11" t="inlineStr">
        <is>
          <t>A fazer</t>
        </is>
      </c>
      <c r="Q54" s="11" t="n"/>
    </row>
    <row r="55" ht="30" customHeight="1">
      <c r="A55" s="6" t="n">
        <v>51</v>
      </c>
      <c r="B55" s="6" t="n">
        <v>11</v>
      </c>
      <c r="C55" s="7" t="inlineStr">
        <is>
          <t>Segunda</t>
        </is>
      </c>
      <c r="D55" s="8">
        <f>$D$2+(B55-1)*7+MATCH(C55,Listas!$A$1:$A$5,0)-1</f>
        <v/>
      </c>
      <c r="E55" s="7" t="inlineStr">
        <is>
          <t>Quintuple Aim</t>
        </is>
      </c>
      <c r="F55" s="9" t="inlineStr">
        <is>
          <t>Cuidado bom é bom para todos: o Quintuple Aim</t>
        </is>
      </c>
      <c r="G55" s="7" t="inlineStr">
        <is>
          <t>Marca, relacionamento e diferenciação</t>
        </is>
      </c>
      <c r="H55" s="7" t="inlineStr">
        <is>
          <t>Carrossel</t>
        </is>
      </c>
      <c r="I55" s="7" t="inlineStr">
        <is>
          <t>4:5 · 1080x1350 · 8–10 slides · slide 2 entendível sozinho</t>
        </is>
      </c>
      <c r="J55" s="7" t="n"/>
      <c r="K55" s="7" t="n"/>
      <c r="L55" s="7" t="n"/>
      <c r="M55" s="7" t="n"/>
      <c r="N55" s="7" t="n"/>
      <c r="O55" s="7" t="n"/>
      <c r="P55" s="7" t="inlineStr">
        <is>
          <t>A fazer</t>
        </is>
      </c>
      <c r="Q55" s="7" t="n"/>
    </row>
    <row r="56" ht="30" customHeight="1">
      <c r="A56" s="6" t="n">
        <v>52</v>
      </c>
      <c r="B56" s="6" t="n">
        <v>11</v>
      </c>
      <c r="C56" s="7" t="inlineStr">
        <is>
          <t>Terça</t>
        </is>
      </c>
      <c r="D56" s="8">
        <f>$D$2+(B56-1)*7+MATCH(C56,Listas!$A$1:$A$5,0)-1</f>
        <v/>
      </c>
      <c r="E56" s="7" t="inlineStr">
        <is>
          <t>Quintuple Aim</t>
        </is>
      </c>
      <c r="F56" s="9" t="inlineStr">
        <is>
          <t>Quintuple Aim em 1 minuto</t>
        </is>
      </c>
      <c r="G56" s="7" t="inlineStr">
        <is>
          <t>Descoberta, educação e retenção</t>
        </is>
      </c>
      <c r="H56" s="7" t="inlineStr">
        <is>
          <t>Reel</t>
        </is>
      </c>
      <c r="I56" s="7" t="inlineStr">
        <is>
          <t>9:16 · 1080x1920 · 30–45 s · texto na tela desde o 1º quadro</t>
        </is>
      </c>
      <c r="J56" s="7" t="n"/>
      <c r="K56" s="7" t="n"/>
      <c r="L56" s="7" t="n"/>
      <c r="M56" s="7" t="n"/>
      <c r="N56" s="7" t="n"/>
      <c r="O56" s="7" t="n"/>
      <c r="P56" s="7" t="inlineStr">
        <is>
          <t>A fazer</t>
        </is>
      </c>
      <c r="Q56" s="7" t="n"/>
    </row>
    <row r="57" ht="30" customHeight="1">
      <c r="A57" s="6" t="n">
        <v>53</v>
      </c>
      <c r="B57" s="6" t="n">
        <v>11</v>
      </c>
      <c r="C57" s="7" t="inlineStr">
        <is>
          <t>Quarta</t>
        </is>
      </c>
      <c r="D57" s="8">
        <f>$D$2+(B57-1)*7+MATCH(C57,Listas!$A$1:$A$5,0)-1</f>
        <v/>
      </c>
      <c r="E57" s="7" t="inlineStr">
        <is>
          <t>Quintuple Aim</t>
        </is>
      </c>
      <c r="F57" s="9" t="inlineStr">
        <is>
          <t>Case Hospital Dia Santo Amaro: de 34 para ~20 reclamações por mês</t>
        </is>
      </c>
      <c r="G57" s="7" t="inlineStr">
        <is>
          <t>Autoridade, salvamento e compartilhamento</t>
        </is>
      </c>
      <c r="H57" s="7" t="inlineStr">
        <is>
          <t>Carrossel</t>
        </is>
      </c>
      <c r="I57" s="7" t="inlineStr">
        <is>
          <t>4:5 · 1080x1350 · 8–10 slides · slide 2 entendível sozinho</t>
        </is>
      </c>
      <c r="J57" s="7" t="n"/>
      <c r="K57" s="7" t="n"/>
      <c r="L57" s="7" t="n"/>
      <c r="M57" s="7" t="n"/>
      <c r="N57" s="7" t="n"/>
      <c r="O57" s="7" t="n"/>
      <c r="P57" s="7" t="inlineStr">
        <is>
          <t>A fazer</t>
        </is>
      </c>
      <c r="Q57" s="7" t="n"/>
    </row>
    <row r="58" ht="30" customHeight="1">
      <c r="A58" s="6" t="n">
        <v>54</v>
      </c>
      <c r="B58" s="6" t="n">
        <v>11</v>
      </c>
      <c r="C58" s="7" t="inlineStr">
        <is>
          <t>Quinta</t>
        </is>
      </c>
      <c r="D58" s="8">
        <f>$D$2+(B58-1)*7+MATCH(C58,Listas!$A$1:$A$5,0)-1</f>
        <v/>
      </c>
      <c r="E58" s="7" t="inlineStr">
        <is>
          <t>Quintuple Aim</t>
        </is>
      </c>
      <c r="F58" s="9" t="inlineStr">
        <is>
          <t>Quem cuida também precisa ser cuidado</t>
        </is>
      </c>
      <c r="G58" s="7" t="inlineStr">
        <is>
          <t>Pessoas, método, bastidores e prova</t>
        </is>
      </c>
      <c r="H58" s="7" t="inlineStr">
        <is>
          <t>Reel</t>
        </is>
      </c>
      <c r="I58" s="7" t="inlineStr">
        <is>
          <t>9:16 · 1080x1920 · 30–45 s · texto na tela desde o 1º quadro</t>
        </is>
      </c>
      <c r="J58" s="7" t="n"/>
      <c r="K58" s="7" t="n"/>
      <c r="L58" s="7" t="n"/>
      <c r="M58" s="7" t="n"/>
      <c r="N58" s="7" t="n"/>
      <c r="O58" s="7" t="n"/>
      <c r="P58" s="7" t="inlineStr">
        <is>
          <t>A fazer</t>
        </is>
      </c>
      <c r="Q58" s="7" t="n"/>
    </row>
    <row r="59" ht="30" customHeight="1">
      <c r="A59" s="6" t="n">
        <v>55</v>
      </c>
      <c r="B59" s="6" t="n">
        <v>11</v>
      </c>
      <c r="C59" s="7" t="inlineStr">
        <is>
          <t>Sexta</t>
        </is>
      </c>
      <c r="D59" s="8">
        <f>$D$2+(B59-1)*7+MATCH(C59,Listas!$A$1:$A$5,0)-1</f>
        <v/>
      </c>
      <c r="E59" s="7" t="inlineStr">
        <is>
          <t>Quintuple Aim</t>
        </is>
      </c>
      <c r="F59" s="9" t="inlineStr">
        <is>
          <t>Equidade: cuidado que chega a todos os turnos</t>
        </is>
      </c>
      <c r="G59" s="7" t="inlineStr">
        <is>
          <t>Saúde corporativa, NR-1 e B2B</t>
        </is>
      </c>
      <c r="H59" s="7" t="inlineStr">
        <is>
          <t>Carrossel</t>
        </is>
      </c>
      <c r="I59" s="7" t="inlineStr">
        <is>
          <t>4:5 · 1080x1350 · 8–10 slides · slide 2 entendível sozinho</t>
        </is>
      </c>
      <c r="J59" s="7" t="n"/>
      <c r="K59" s="7" t="n"/>
      <c r="L59" s="7" t="n"/>
      <c r="M59" s="7" t="n"/>
      <c r="N59" s="7" t="n"/>
      <c r="O59" s="7" t="n"/>
      <c r="P59" s="7" t="inlineStr">
        <is>
          <t>A fazer</t>
        </is>
      </c>
      <c r="Q59" s="7" t="n"/>
    </row>
    <row r="60" ht="30" customHeight="1">
      <c r="A60" s="10" t="n">
        <v>56</v>
      </c>
      <c r="B60" s="10" t="n">
        <v>12</v>
      </c>
      <c r="C60" s="11" t="inlineStr">
        <is>
          <t>Segunda</t>
        </is>
      </c>
      <c r="D60" s="12">
        <f>$D$2+(B60-1)*7+MATCH(C60,Listas!$A$1:$A$5,0)-1</f>
        <v/>
      </c>
      <c r="E60" s="11" t="inlineStr">
        <is>
          <t>Resultados</t>
        </is>
      </c>
      <c r="F60" s="13" t="inlineStr">
        <is>
          <t>Mito ou Evidência: "programa de saúde não dá retorno"</t>
        </is>
      </c>
      <c r="G60" s="11" t="inlineStr">
        <is>
          <t>Marca, relacionamento e diferenciação</t>
        </is>
      </c>
      <c r="H60" s="11" t="inlineStr">
        <is>
          <t>Carrossel</t>
        </is>
      </c>
      <c r="I60" s="11" t="inlineStr">
        <is>
          <t>4:5 · 1080x1350 · 8–10 slides · slide 2 entendível sozinho</t>
        </is>
      </c>
      <c r="J60" s="11" t="n"/>
      <c r="K60" s="11" t="n"/>
      <c r="L60" s="11" t="n"/>
      <c r="M60" s="11" t="n"/>
      <c r="N60" s="11" t="n"/>
      <c r="O60" s="11" t="n"/>
      <c r="P60" s="11" t="inlineStr">
        <is>
          <t>A fazer</t>
        </is>
      </c>
      <c r="Q60" s="11" t="n"/>
    </row>
    <row r="61" ht="30" customHeight="1">
      <c r="A61" s="10" t="n">
        <v>57</v>
      </c>
      <c r="B61" s="10" t="n">
        <v>12</v>
      </c>
      <c r="C61" s="11" t="inlineStr">
        <is>
          <t>Terça</t>
        </is>
      </c>
      <c r="D61" s="12">
        <f>$D$2+(B61-1)*7+MATCH(C61,Listas!$A$1:$A$5,0)-1</f>
        <v/>
      </c>
      <c r="E61" s="11" t="inlineStr">
        <is>
          <t>Resultados</t>
        </is>
      </c>
      <c r="F61" s="13" t="inlineStr">
        <is>
          <t>Absenteísmo e custos: HBR 2022 (−28%) e SHRM 2023 (−22%)</t>
        </is>
      </c>
      <c r="G61" s="11" t="inlineStr">
        <is>
          <t>Descoberta, educação e retenção</t>
        </is>
      </c>
      <c r="H61" s="11" t="inlineStr">
        <is>
          <t>Reel</t>
        </is>
      </c>
      <c r="I61" s="11" t="inlineStr">
        <is>
          <t>9:16 · 1080x1920 · 30–45 s · texto na tela desde o 1º quadro</t>
        </is>
      </c>
      <c r="J61" s="11" t="n"/>
      <c r="K61" s="11" t="n"/>
      <c r="L61" s="11" t="n"/>
      <c r="M61" s="11" t="n"/>
      <c r="N61" s="11" t="n"/>
      <c r="O61" s="11" t="n"/>
      <c r="P61" s="11" t="inlineStr">
        <is>
          <t>A fazer</t>
        </is>
      </c>
      <c r="Q61" s="11" t="n"/>
    </row>
    <row r="62" ht="30" customHeight="1">
      <c r="A62" s="10" t="n">
        <v>58</v>
      </c>
      <c r="B62" s="10" t="n">
        <v>12</v>
      </c>
      <c r="C62" s="11" t="inlineStr">
        <is>
          <t>Quarta</t>
        </is>
      </c>
      <c r="D62" s="12">
        <f>$D$2+(B62-1)*7+MATCH(C62,Listas!$A$1:$A$5,0)-1</f>
        <v/>
      </c>
      <c r="E62" s="11" t="inlineStr">
        <is>
          <t>Resultados</t>
        </is>
      </c>
      <c r="F62" s="13" t="inlineStr">
        <is>
          <t>Depoimentos em texto: o cuidado na voz de quem é atendido</t>
        </is>
      </c>
      <c r="G62" s="11" t="inlineStr">
        <is>
          <t>Autoridade, salvamento e compartilhamento</t>
        </is>
      </c>
      <c r="H62" s="11" t="inlineStr">
        <is>
          <t>Carrossel</t>
        </is>
      </c>
      <c r="I62" s="11" t="inlineStr">
        <is>
          <t>4:5 · 1080x1350 · 8–10 slides · slide 2 entendível sozinho</t>
        </is>
      </c>
      <c r="J62" s="11" t="n"/>
      <c r="K62" s="11" t="n"/>
      <c r="L62" s="11" t="n"/>
      <c r="M62" s="11" t="n"/>
      <c r="N62" s="11" t="n"/>
      <c r="O62" s="11" t="n"/>
      <c r="P62" s="11" t="inlineStr">
        <is>
          <t>A fazer</t>
        </is>
      </c>
      <c r="Q62" s="11" t="n"/>
    </row>
    <row r="63" ht="30" customHeight="1">
      <c r="A63" s="10" t="n">
        <v>59</v>
      </c>
      <c r="B63" s="10" t="n">
        <v>12</v>
      </c>
      <c r="C63" s="11" t="inlineStr">
        <is>
          <t>Quinta</t>
        </is>
      </c>
      <c r="D63" s="12">
        <f>$D$2+(B63-1)*7+MATCH(C63,Listas!$A$1:$A$5,0)-1</f>
        <v/>
      </c>
      <c r="E63" s="11" t="inlineStr">
        <is>
          <t>Resultados</t>
        </is>
      </c>
      <c r="F63" s="13" t="inlineStr">
        <is>
          <t>"Ela não gosta de gravar vídeo. Gravou um mesmo assim." (trechos em cards)</t>
        </is>
      </c>
      <c r="G63" s="11" t="inlineStr">
        <is>
          <t>Pessoas, método, bastidores e prova</t>
        </is>
      </c>
      <c r="H63" s="11" t="inlineStr">
        <is>
          <t>Reel</t>
        </is>
      </c>
      <c r="I63" s="11" t="inlineStr">
        <is>
          <t>9:16 · 1080x1920 · 30–45 s · texto na tela desde o 1º quadro</t>
        </is>
      </c>
      <c r="J63" s="11" t="n"/>
      <c r="K63" s="11" t="n"/>
      <c r="L63" s="11" t="n"/>
      <c r="M63" s="11" t="n"/>
      <c r="N63" s="11" t="n"/>
      <c r="O63" s="11" t="n"/>
      <c r="P63" s="11" t="inlineStr">
        <is>
          <t>A fazer</t>
        </is>
      </c>
      <c r="Q63" s="11" t="n"/>
    </row>
    <row r="64" ht="30" customHeight="1">
      <c r="A64" s="10" t="n">
        <v>60</v>
      </c>
      <c r="B64" s="10" t="n">
        <v>12</v>
      </c>
      <c r="C64" s="11" t="inlineStr">
        <is>
          <t>Sexta</t>
        </is>
      </c>
      <c r="D64" s="12">
        <f>$D$2+(B64-1)*7+MATCH(C64,Listas!$A$1:$A$5,0)-1</f>
        <v/>
      </c>
      <c r="E64" s="11" t="inlineStr">
        <is>
          <t>Resultados</t>
        </is>
      </c>
      <c r="F64" s="13" t="inlineStr">
        <is>
          <t>Indicadores que o RH deve acompanhar</t>
        </is>
      </c>
      <c r="G64" s="11" t="inlineStr">
        <is>
          <t>Saúde corporativa, NR-1 e B2B</t>
        </is>
      </c>
      <c r="H64" s="11" t="inlineStr">
        <is>
          <t>Carrossel</t>
        </is>
      </c>
      <c r="I64" s="11" t="inlineStr">
        <is>
          <t>4:5 · 1080x1350 · 8–10 slides · slide 2 entendível sozinho</t>
        </is>
      </c>
      <c r="J64" s="11" t="n"/>
      <c r="K64" s="11" t="n"/>
      <c r="L64" s="11" t="n"/>
      <c r="M64" s="11" t="n"/>
      <c r="N64" s="11" t="n"/>
      <c r="O64" s="11" t="n"/>
      <c r="P64" s="11" t="inlineStr">
        <is>
          <t>A fazer</t>
        </is>
      </c>
      <c r="Q64" s="11" t="n"/>
    </row>
    <row r="65" ht="30" customHeight="1">
      <c r="A65" s="6" t="n">
        <v>61</v>
      </c>
      <c r="B65" s="6" t="n">
        <v>13</v>
      </c>
      <c r="C65" s="7" t="inlineStr">
        <is>
          <t>Segunda</t>
        </is>
      </c>
      <c r="D65" s="8">
        <f>$D$2+(B65-1)*7+MATCH(C65,Listas!$A$1:$A$5,0)-1</f>
        <v/>
      </c>
      <c r="E65" s="7" t="inlineStr">
        <is>
          <t>FAIR HEALTH para empresas</t>
        </is>
      </c>
      <c r="F65" s="9" t="inlineStr">
        <is>
          <t>O que importa para a sua empresa? Síntese da solução</t>
        </is>
      </c>
      <c r="G65" s="7" t="inlineStr">
        <is>
          <t>Marca, relacionamento e diferenciação</t>
        </is>
      </c>
      <c r="H65" s="7" t="inlineStr">
        <is>
          <t>Carrossel</t>
        </is>
      </c>
      <c r="I65" s="7" t="inlineStr">
        <is>
          <t>4:5 · 1080x1350 · 8–10 slides · slide 2 entendível sozinho</t>
        </is>
      </c>
      <c r="J65" s="7" t="n"/>
      <c r="K65" s="7" t="n"/>
      <c r="L65" s="7" t="n"/>
      <c r="M65" s="7" t="n"/>
      <c r="N65" s="7" t="n"/>
      <c r="O65" s="7" t="n"/>
      <c r="P65" s="7" t="inlineStr">
        <is>
          <t>A fazer</t>
        </is>
      </c>
      <c r="Q65" s="7" t="n"/>
    </row>
    <row r="66" ht="30" customHeight="1">
      <c r="A66" s="6" t="n">
        <v>62</v>
      </c>
      <c r="B66" s="6" t="n">
        <v>13</v>
      </c>
      <c r="C66" s="7" t="inlineStr">
        <is>
          <t>Terça</t>
        </is>
      </c>
      <c r="D66" s="8">
        <f>$D$2+(B66-1)*7+MATCH(C66,Listas!$A$1:$A$5,0)-1</f>
        <v/>
      </c>
      <c r="E66" s="7" t="inlineStr">
        <is>
          <t>FAIR HEALTH para empresas</t>
        </is>
      </c>
      <c r="F66" s="9" t="inlineStr">
        <is>
          <t>Liderança: por que a FAIR HEALTH existe (convite)</t>
        </is>
      </c>
      <c r="G66" s="7" t="inlineStr">
        <is>
          <t>Descoberta, educação e retenção</t>
        </is>
      </c>
      <c r="H66" s="7" t="inlineStr">
        <is>
          <t>Reel</t>
        </is>
      </c>
      <c r="I66" s="7" t="inlineStr">
        <is>
          <t>9:16 · 1080x1920 · 30–45 s · texto na tela desde o 1º quadro</t>
        </is>
      </c>
      <c r="J66" s="7" t="n"/>
      <c r="K66" s="7" t="n"/>
      <c r="L66" s="7" t="n"/>
      <c r="M66" s="7" t="n"/>
      <c r="N66" s="7" t="n"/>
      <c r="O66" s="7" t="n"/>
      <c r="P66" s="7" t="inlineStr">
        <is>
          <t>A fazer</t>
        </is>
      </c>
      <c r="Q66" s="7" t="n"/>
    </row>
    <row r="67" ht="30" customHeight="1">
      <c r="A67" s="6" t="n">
        <v>63</v>
      </c>
      <c r="B67" s="6" t="n">
        <v>13</v>
      </c>
      <c r="C67" s="7" t="inlineStr">
        <is>
          <t>Quarta</t>
        </is>
      </c>
      <c r="D67" s="8">
        <f>$D$2+(B67-1)*7+MATCH(C67,Listas!$A$1:$A$5,0)-1</f>
        <v/>
      </c>
      <c r="E67" s="7" t="inlineStr">
        <is>
          <t>FAIR HEALTH para empresas</t>
        </is>
      </c>
      <c r="F67" s="9" t="inlineStr">
        <is>
          <t>Como começar: diagnóstico → proposta → implementação</t>
        </is>
      </c>
      <c r="G67" s="7" t="inlineStr">
        <is>
          <t>Autoridade, salvamento e compartilhamento</t>
        </is>
      </c>
      <c r="H67" s="7" t="inlineStr">
        <is>
          <t>Carrossel</t>
        </is>
      </c>
      <c r="I67" s="7" t="inlineStr">
        <is>
          <t>4:5 · 1080x1350 · 8–10 slides · slide 2 entendível sozinho</t>
        </is>
      </c>
      <c r="J67" s="7" t="n"/>
      <c r="K67" s="7" t="n"/>
      <c r="L67" s="7" t="n"/>
      <c r="M67" s="7" t="n"/>
      <c r="N67" s="7" t="n"/>
      <c r="O67" s="7" t="n"/>
      <c r="P67" s="7" t="inlineStr">
        <is>
          <t>A fazer</t>
        </is>
      </c>
      <c r="Q67" s="7" t="n"/>
    </row>
    <row r="68" ht="30" customHeight="1">
      <c r="A68" s="6" t="n">
        <v>64</v>
      </c>
      <c r="B68" s="6" t="n">
        <v>13</v>
      </c>
      <c r="C68" s="7" t="inlineStr">
        <is>
          <t>Quinta</t>
        </is>
      </c>
      <c r="D68" s="8">
        <f>$D$2+(B68-1)*7+MATCH(C68,Listas!$A$1:$A$5,0)-1</f>
        <v/>
      </c>
      <c r="E68" s="7" t="inlineStr">
        <is>
          <t>FAIR HEALTH para empresas</t>
        </is>
      </c>
      <c r="F68" s="9" t="inlineStr">
        <is>
          <t>Implementação em 3 passos</t>
        </is>
      </c>
      <c r="G68" s="7" t="inlineStr">
        <is>
          <t>Pessoas, método, bastidores e prova</t>
        </is>
      </c>
      <c r="H68" s="7" t="inlineStr">
        <is>
          <t>Reel</t>
        </is>
      </c>
      <c r="I68" s="7" t="inlineStr">
        <is>
          <t>9:16 · 1080x1920 · 30–45 s · texto na tela desde o 1º quadro</t>
        </is>
      </c>
      <c r="J68" s="7" t="n"/>
      <c r="K68" s="7" t="n"/>
      <c r="L68" s="7" t="n"/>
      <c r="M68" s="7" t="n"/>
      <c r="N68" s="7" t="n"/>
      <c r="O68" s="7" t="n"/>
      <c r="P68" s="7" t="inlineStr">
        <is>
          <t>A fazer</t>
        </is>
      </c>
      <c r="Q68" s="7" t="n"/>
    </row>
    <row r="69" ht="30" customHeight="1">
      <c r="A69" s="6" t="n">
        <v>65</v>
      </c>
      <c r="B69" s="6" t="n">
        <v>13</v>
      </c>
      <c r="C69" s="7" t="inlineStr">
        <is>
          <t>Sexta</t>
        </is>
      </c>
      <c r="D69" s="8">
        <f>$D$2+(B69-1)*7+MATCH(C69,Listas!$A$1:$A$5,0)-1</f>
        <v/>
      </c>
      <c r="E69" s="7" t="inlineStr">
        <is>
          <t>FAIR HEALTH para empresas</t>
        </is>
      </c>
      <c r="F69" s="9" t="inlineStr">
        <is>
          <t>Diagnóstico gratuito: comente CUIDADO</t>
        </is>
      </c>
      <c r="G69" s="7" t="inlineStr">
        <is>
          <t>Saúde corporativa, NR-1 e B2B</t>
        </is>
      </c>
      <c r="H69" s="7" t="inlineStr">
        <is>
          <t>Carrossel</t>
        </is>
      </c>
      <c r="I69" s="7" t="inlineStr">
        <is>
          <t>4:5 · 1080x1350 · 8–10 slides · slide 2 entendível sozinho</t>
        </is>
      </c>
      <c r="J69" s="7" t="n"/>
      <c r="K69" s="7" t="n"/>
      <c r="L69" s="7" t="n"/>
      <c r="M69" s="7" t="n"/>
      <c r="N69" s="7" t="n"/>
      <c r="O69" s="7" t="n"/>
      <c r="P69" s="7" t="inlineStr">
        <is>
          <t>A fazer</t>
        </is>
      </c>
      <c r="Q69" s="7" t="n"/>
    </row>
  </sheetData>
  <autoFilter ref="A4:Q69"/>
  <conditionalFormatting sqref="P5:P300">
    <cfRule type="cellIs" priority="1" operator="equal" dxfId="0">
      <formula>"Publicado"</formula>
    </cfRule>
    <cfRule type="cellIs" priority="2" operator="equal" dxfId="1">
      <formula>"Aprovado"</formula>
    </cfRule>
    <cfRule type="cellIs" priority="3" operator="equal" dxfId="2">
      <formula>"Em revisão"</formula>
    </cfRule>
    <cfRule type="cellIs" priority="4" operator="equal" dxfId="3">
      <formula>"Em produção"</formula>
    </cfRule>
  </conditionalFormatting>
  <dataValidations count="3">
    <dataValidation sqref="P5:P300" showDropDown="0" showInputMessage="0" showErrorMessage="0" allowBlank="1" type="list">
      <formula1>=Listas!$C$1:$C$5</formula1>
    </dataValidation>
    <dataValidation sqref="H5:H300" showDropDown="0" showInputMessage="0" showErrorMessage="0" allowBlank="1" type="list">
      <formula1>=Listas!$D$1:$D$4</formula1>
    </dataValidation>
    <dataValidation sqref="C5:C300" showDropDown="0" showInputMessage="0" showErrorMessage="0" allowBlank="1" type="list">
      <formula1>=Listas!$A$1:$A$5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sheetData>
    <row r="1">
      <c r="A1" t="inlineStr">
        <is>
          <t>Segunda</t>
        </is>
      </c>
      <c r="B1" t="n">
        <v>1</v>
      </c>
      <c r="C1" t="inlineStr">
        <is>
          <t>A fazer</t>
        </is>
      </c>
      <c r="D1" t="inlineStr">
        <is>
          <t>Reel</t>
        </is>
      </c>
    </row>
    <row r="2">
      <c r="A2" t="inlineStr">
        <is>
          <t>Terça</t>
        </is>
      </c>
      <c r="B2" t="n">
        <v>2</v>
      </c>
      <c r="C2" t="inlineStr">
        <is>
          <t>Em produção</t>
        </is>
      </c>
      <c r="D2" t="inlineStr">
        <is>
          <t>Carrossel</t>
        </is>
      </c>
    </row>
    <row r="3">
      <c r="A3" t="inlineStr">
        <is>
          <t>Quarta</t>
        </is>
      </c>
      <c r="B3" t="n">
        <v>3</v>
      </c>
      <c r="C3" t="inlineStr">
        <is>
          <t>Em revisão</t>
        </is>
      </c>
      <c r="D3" t="inlineStr">
        <is>
          <t>Foto única</t>
        </is>
      </c>
    </row>
    <row r="4">
      <c r="A4" t="inlineStr">
        <is>
          <t>Quinta</t>
        </is>
      </c>
      <c r="B4" t="n">
        <v>4</v>
      </c>
      <c r="C4" t="inlineStr">
        <is>
          <t>Aprovado</t>
        </is>
      </c>
      <c r="D4" t="inlineStr">
        <is>
          <t>Stories</t>
        </is>
      </c>
    </row>
    <row r="5">
      <c r="A5" t="inlineStr">
        <is>
          <t>Sexta</t>
        </is>
      </c>
      <c r="B5" t="n">
        <v>5</v>
      </c>
      <c r="C5" t="inlineStr">
        <is>
          <t>Publicado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2026-09-29T15:57:08Z</dcterms:created>
  <dcterms:modified xmlns:dcterms="http://purl.org/dc/terms/" xmlns:xsi="http://www.w3.org/2001/XMLSchema-instance" xsi:type="dcterms:W3CDTF">2026-09-29T15:57:08Z</dcterms:modified>
</cp:coreProperties>
</file>