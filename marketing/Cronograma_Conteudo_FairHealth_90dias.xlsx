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Resultado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Especificações" sheetId="6" state="visible" r:id="rId6"/>
    <sheet xmlns:r="http://schemas.openxmlformats.org/officeDocument/2006/relationships" name="Listas" sheetId="7" state="visible" r:id="rId7"/>
  </sheets>
  <definedNames>
    <definedName name="_xlnm._FilterDatabase" localSheetId="1" hidden="1">'Cronograma'!$A$2:$AQ$67</definedName>
    <definedName name="_xlnm._FilterDatabase" localSheetId="3" hidden="1">'Resultados'!$A$1:$U$66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 (ddd)"/>
    <numFmt numFmtId="168" formatCode="dd/mm"/>
    <numFmt numFmtId="169" formatCode="0.0%"/>
    <numFmt numFmtId="170" formatCode="+0%;-0%;0%"/>
  </numFmts>
  <fonts count="12">
    <font>
      <name val="Calibri"/>
      <family val="2"/>
      <color theme="1"/>
      <sz val="11"/>
      <scheme val="minor"/>
    </font>
    <font>
      <name val="Arial"/>
      <i val="1"/>
      <color rgb="005F6B6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2F6B64"/>
      <sz val="14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2F6B64"/>
      <sz val="12"/>
    </font>
    <font>
      <name val="Arial"/>
      <b val="1"/>
      <color rgb="00FFFFFF"/>
      <sz val="11"/>
    </font>
    <font>
      <name val="Arial"/>
      <b val="1"/>
      <color rgb="002F6B64"/>
      <sz val="16"/>
    </font>
    <font>
      <name val="Arial"/>
      <b val="1"/>
      <color rgb="002F6B64"/>
      <sz val="11"/>
    </font>
    <font>
      <name val="Arial"/>
      <b val="1"/>
      <color rgb="001E2A28"/>
      <sz val="10"/>
    </font>
  </fonts>
  <fills count="9">
    <fill>
      <patternFill/>
    </fill>
    <fill>
      <patternFill patternType="gray125"/>
    </fill>
    <fill>
      <patternFill patternType="solid">
        <fgColor rgb="002F6B64"/>
      </patternFill>
    </fill>
    <fill>
      <patternFill patternType="solid">
        <fgColor rgb="00FFF6CC"/>
      </patternFill>
    </fill>
    <fill>
      <patternFill patternType="solid">
        <fgColor rgb="003E7C74"/>
      </patternFill>
    </fill>
    <fill>
      <patternFill patternType="solid">
        <fgColor rgb="005A8F87"/>
      </patternFill>
    </fill>
    <fill>
      <patternFill patternType="solid">
        <fgColor rgb="007AA69F"/>
      </patternFill>
    </fill>
    <fill>
      <patternFill patternType="solid">
        <fgColor rgb="008FB3AD"/>
      </patternFill>
    </fill>
    <fill>
      <patternFill patternType="solid">
        <fgColor rgb="00F4F8F7"/>
      </patternFill>
    </fill>
  </fills>
  <borders count="2">
    <border>
      <left/>
      <right/>
      <top/>
      <bottom/>
      <diagonal/>
    </border>
    <border>
      <left style="thin">
        <color rgb="00C9D6D3"/>
      </left>
      <right style="thin">
        <color rgb="00C9D6D3"/>
      </right>
      <top style="thin">
        <color rgb="00C9D6D3"/>
      </top>
      <bottom style="thin">
        <color rgb="00C9D6D3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167" fontId="3" fillId="8" borderId="1" applyAlignment="1" pivotButton="0" quotePrefix="0" xfId="0">
      <alignment vertical="top" wrapText="1"/>
    </xf>
    <xf numFmtId="166" fontId="3" fillId="8" borderId="1" applyAlignment="1" pivotButton="0" quotePrefix="0" xfId="0">
      <alignment vertical="top" wrapText="1"/>
    </xf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0" pivotButton="0" quotePrefix="0" xfId="0"/>
    <xf numFmtId="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69" fontId="3" fillId="0" borderId="0" pivotButton="0" quotePrefix="0" xfId="0"/>
    <xf numFmtId="0" fontId="3" fillId="0" borderId="1" pivotButton="0" quotePrefix="0" xfId="0"/>
    <xf numFmtId="168" fontId="3" fillId="0" borderId="1" pivotButton="0" quotePrefix="0" xfId="0"/>
    <xf numFmtId="3" fontId="6" fillId="0" borderId="1" pivotButton="0" quotePrefix="0" xfId="0"/>
    <xf numFmtId="9" fontId="6" fillId="0" borderId="1" pivotButton="0" quotePrefix="0" xfId="0"/>
    <xf numFmtId="169" fontId="3" fillId="0" borderId="1" pivotButton="0" quotePrefix="0" xfId="0"/>
    <xf numFmtId="0" fontId="6" fillId="0" borderId="1" pivotButton="0" quotePrefix="0" xfId="0"/>
    <xf numFmtId="165" fontId="6" fillId="3" borderId="0" pivotButton="0" quotePrefix="0" xfId="0"/>
    <xf numFmtId="166" fontId="6" fillId="3" borderId="0" pivotButton="0" quotePrefix="0" xfId="0"/>
    <xf numFmtId="1" fontId="6" fillId="3" borderId="0" pivotButton="0" quotePrefix="0" xfId="0"/>
    <xf numFmtId="0" fontId="7" fillId="0" borderId="0" pivotButton="0" quotePrefix="0" xfId="0"/>
    <xf numFmtId="9" fontId="6" fillId="0" borderId="0" pivotButton="0" quotePrefix="0" xfId="0"/>
    <xf numFmtId="0" fontId="5" fillId="0" borderId="1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C6E8D5"/>
        </patternFill>
      </fill>
    </dxf>
    <dxf>
      <fill>
        <patternFill patternType="solid">
          <fgColor rgb="00D6E6F5"/>
        </patternFill>
      </fill>
    </dxf>
    <dxf>
      <fill>
        <patternFill patternType="solid">
          <fgColor rgb="00E3F1DC"/>
        </patternFill>
      </fill>
    </dxf>
    <dxf>
      <fill>
        <patternFill patternType="solid">
          <fgColor rgb="00FCE8C8"/>
        </patternFill>
      </fill>
    </dxf>
    <dxf>
      <fill>
        <patternFill patternType="solid">
          <fgColor rgb="00FFF3C4"/>
        </patternFill>
      </fill>
    </dxf>
    <dxf>
      <fill>
        <patternFill patternType="solid">
          <fgColor rgb="00F3D0D0"/>
        </patternFill>
      </fill>
    </dxf>
    <dxf>
      <font>
        <name val="Arial"/>
        <b val="1"/>
        <color rgb="009C0006"/>
      </font>
      <fill>
        <patternFill patternType="solid">
          <fgColor rgb="00F3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fairhealth</author>
  </authors>
  <commentList>
    <comment ref="D2" authorId="0" shapeId="0">
      <text>
        <t>Calculada: Config!B3 + semana + dia. Para mudar todas as datas, altere a data de início na aba Config.</t>
      </text>
    </comment>
    <comment ref="Q2" authorId="0" shapeId="0">
      <text>
        <t>Preenchida automaticamente a partir da aba Especificações, conforme o Formato.</t>
      </text>
    </comment>
    <comment ref="AJ2" authorId="0" shapeId="0">
      <text>
        <t>Data de publicação menos os dias úteis definidos em Config!B5. Fica vermelha se vencer sem aprovação.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2F6B64"/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Cronograma de conteúdo FAIR HEALTH · 90 dias</t>
        </is>
      </c>
    </row>
    <row r="2">
      <c r="A2" s="2" t="inlineStr">
        <is>
          <t>Base: Plano Estratégico de Marketing Digital (versão final da diretoria). 5 pautas-mãe por semana, 2 delas em vídeo.</t>
        </is>
      </c>
    </row>
    <row r="4">
      <c r="A4" s="3" t="inlineStr">
        <is>
          <t>ABAS</t>
        </is>
      </c>
      <c r="B4" s="4" t="inlineStr"/>
    </row>
    <row r="5">
      <c r="A5" s="5" t="inlineStr">
        <is>
          <t>Config</t>
        </is>
      </c>
      <c r="B5" s="4" t="inlineStr">
        <is>
          <t>Data de início, horário padrão, prazos de produção e revisão, metas do mix. Mudar a data de início reajusta todo o calendário.</t>
        </is>
      </c>
    </row>
    <row r="6">
      <c r="A6" s="5" t="inlineStr">
        <is>
          <t>Cronograma</t>
        </is>
      </c>
      <c r="B6" s="4" t="inlineStr">
        <is>
          <t>Uma linha por pauta-mãe (65 = 13 semanas × 5). Colunas agrupadas: Planejamento, Conteúdo, Produção, Distribuição, Aprendizado. A linha FH001 é o exemplo preenchido.</t>
        </is>
      </c>
    </row>
    <row r="7">
      <c r="A7" s="5" t="inlineStr">
        <is>
          <t>Resumo</t>
        </is>
      </c>
      <c r="B7" s="4" t="inlineStr">
        <is>
          <t>Painel automático: status, mix por território contra a meta, desempenho por formato, funil e alertas.</t>
        </is>
      </c>
    </row>
    <row r="8">
      <c r="A8" s="5" t="inlineStr">
        <is>
          <t>Resultados</t>
        </is>
      </c>
      <c r="B8" s="4" t="inlineStr">
        <is>
          <t>Métricas de cada post (Instagram Insights, 7 dias após publicar). Taxas calculadas automaticamente.</t>
        </is>
      </c>
    </row>
    <row r="9">
      <c r="A9" s="5" t="inlineStr">
        <is>
          <t>Especificações</t>
        </is>
      </c>
      <c r="B9" s="4" t="inlineStr">
        <is>
          <t>Medidas, durações e boas práticas por formato. Alimenta a coluna "Especificações técnicas (auto)".</t>
        </is>
      </c>
    </row>
    <row r="10">
      <c r="A10" s="5" t="inlineStr">
        <is>
          <t>Listas</t>
        </is>
      </c>
      <c r="B10" s="4" t="inlineStr">
        <is>
          <t>Opções dos menus suspensos (status, formatos, séries, responsáveis etc.).</t>
        </is>
      </c>
    </row>
    <row r="11">
      <c r="A11" s="5" t="inlineStr"/>
      <c r="B11" s="4" t="inlineStr"/>
    </row>
    <row r="12">
      <c r="A12" s="3" t="inlineStr">
        <is>
          <t>COMO USAR</t>
        </is>
      </c>
      <c r="B12" s="4" t="inlineStr"/>
    </row>
    <row r="13">
      <c r="A13" s="5" t="inlineStr">
        <is>
          <t>1. Planejar</t>
        </is>
      </c>
      <c r="B13" s="4" t="inlineStr">
        <is>
          <t>Revise Tema, Série, Pauta, Objetivo e Formato. O que estiver em cinza/automático não precisa ser digitado.</t>
        </is>
      </c>
    </row>
    <row r="14">
      <c r="A14" s="5" t="inlineStr">
        <is>
          <t>2. Escrever</t>
        </is>
      </c>
      <c r="B14" s="4" t="inlineStr">
        <is>
          <t>Preencha Gancho, Roteiro, Texto na tela, Legenda, CTA, palavras-chave, hashtags e alt text. A contagem de caracteres fica vermelha acima de 2.200.</t>
        </is>
      </c>
    </row>
    <row r="15">
      <c r="A15" s="5" t="inlineStr">
        <is>
          <t>3. Produzir</t>
        </is>
      </c>
      <c r="B15" s="4" t="inlineStr">
        <is>
          <t>Linha visual, assets (códigos da lista de cenas da sessão de fotos), quem aparece, autorização de imagem, revisão técnica e prazos.</t>
        </is>
      </c>
    </row>
    <row r="16">
      <c r="A16" s="5" t="inlineStr">
        <is>
          <t>4. Distribuir</t>
        </is>
      </c>
      <c r="B16" s="4" t="inlineStr">
        <is>
          <t>Stories de apoio, adaptação para LinkedIn e Facebook, coautoria. Depois de publicar, cole o link e mude o status para "Publicado".</t>
        </is>
      </c>
    </row>
    <row r="17">
      <c r="A17" s="5" t="inlineStr">
        <is>
          <t>5. Aprender</t>
        </is>
      </c>
      <c r="B17" s="4" t="inlineStr">
        <is>
          <t>Após 7 dias, lance as métricas na aba Resultados e registre a decisão da semana (repetir, testar, ajustar ou cortar).</t>
        </is>
      </c>
    </row>
    <row r="18">
      <c r="A18" s="5" t="inlineStr"/>
      <c r="B18" s="4" t="inlineStr"/>
    </row>
    <row r="19">
      <c r="A19" s="3" t="inlineStr">
        <is>
          <t>CÓDIGO DE CORES</t>
        </is>
      </c>
      <c r="B19" s="4" t="inlineStr"/>
    </row>
    <row r="20">
      <c r="A20" s="5" t="inlineStr">
        <is>
          <t>Texto azul</t>
        </is>
      </c>
      <c r="B20" s="4" t="inlineStr">
        <is>
          <t>Campo de entrada (digitar). Fundo amarelo claro = parâmetro na aba Config.</t>
        </is>
      </c>
    </row>
    <row r="21">
      <c r="A21" s="5" t="inlineStr">
        <is>
          <t>Texto preto</t>
        </is>
      </c>
      <c r="B21" s="4" t="inlineStr">
        <is>
          <t>Fórmula ou conteúdo já preenchido. Não apagar as fórmulas de Data, Fase, Prazos e Especificações.</t>
        </is>
      </c>
    </row>
    <row r="22">
      <c r="A22" s="5" t="inlineStr">
        <is>
          <t>Status</t>
        </is>
      </c>
      <c r="B22" s="4" t="inlineStr">
        <is>
          <t>Verde = publicado · azul = agendado · verde-claro = aprovado · laranja = em revisão técnica · amarelo = em produção · vermelho = adiado.</t>
        </is>
      </c>
    </row>
    <row r="23">
      <c r="A23" s="5" t="inlineStr">
        <is>
          <t>Prazo em vermelho</t>
        </is>
      </c>
      <c r="B23" s="4" t="inlineStr">
        <is>
          <t>Prazo de produção vencido e post ainda não aprovado.</t>
        </is>
      </c>
    </row>
    <row r="24">
      <c r="A24" s="5" t="inlineStr"/>
      <c r="B24" s="4" t="inlineStr"/>
    </row>
    <row r="25">
      <c r="A25" s="3" t="inlineStr">
        <is>
          <t>REGRAS FIXAS</t>
        </is>
      </c>
      <c r="B25" s="4" t="inlineStr"/>
    </row>
    <row r="26">
      <c r="A26" s="5" t="inlineStr">
        <is>
          <t>Conteúdo clínico</t>
        </is>
      </c>
      <c r="B26" s="4" t="inlineStr">
        <is>
          <t>Educativo, revisado tecnicamente, sem promessa individual de resultado.</t>
        </is>
      </c>
    </row>
    <row r="27">
      <c r="A27" s="5" t="inlineStr">
        <is>
          <t>Depoimentos</t>
        </is>
      </c>
      <c r="B27" s="4" t="inlineStr">
        <is>
          <t>Somente em texto, sem nome, rosto, empresa ou condição de saúde identificável, com autorização por escrito.</t>
        </is>
      </c>
    </row>
    <row r="28">
      <c r="A28" s="5" t="inlineStr">
        <is>
          <t>Números</t>
        </is>
      </c>
      <c r="B28" s="4" t="inlineStr">
        <is>
          <t>Só com fonte: HBR 2022 (−28% absenteísmo), SHRM 2023 (−22% custos com saúde); cases HDSA e Chemitec liberados.</t>
        </is>
      </c>
    </row>
    <row r="29">
      <c r="A29" s="5" t="inlineStr">
        <is>
          <t>Flexibilidade</t>
        </is>
      </c>
      <c r="B29" s="4" t="inlineStr">
        <is>
          <t>Manter ~20% do calendário livre para acontecimentos reais. O pilar 5 (hábitos de risco/substâncias) entra num espaço flexível, com revisão técnica.</t>
        </is>
      </c>
    </row>
    <row r="30">
      <c r="A30" s="5" t="inlineStr">
        <is>
          <t>Pendências</t>
        </is>
      </c>
      <c r="B30" s="4" t="inlineStr">
        <is>
          <t>Nome do integrante #5 do time; confirmar se as imagens do espaço são renders; aprovar a paleta dos 7 pilares.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6B64"/>
    <outlinePr summaryBelow="1" summaryRight="1"/>
    <pageSetUpPr/>
  </sheetPr>
  <dimension ref="A1:AQ67"/>
  <sheetViews>
    <sheetView zoomScale="90" workbookViewId="0">
      <pane xSplit="11" ySplit="2" topLeftCell="L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1" customWidth="1" min="4" max="4"/>
    <col width="8" customWidth="1" min="5" max="5"/>
    <col width="8" customWidth="1" min="6" max="6"/>
    <col width="16" customWidth="1" min="7" max="7"/>
    <col width="15" customWidth="1" min="8" max="8"/>
    <col width="20" customWidth="1" min="9" max="9"/>
    <col width="20" customWidth="1" min="10" max="10"/>
    <col width="22" customWidth="1" min="11" max="11"/>
    <col width="38" customWidth="1" min="12" max="12"/>
    <col width="12" customWidth="1" min="13" max="13"/>
    <col width="16" customWidth="1" min="14" max="14"/>
    <col width="22" customWidth="1" min="15" max="15"/>
    <col width="13" customWidth="1" min="16" max="16"/>
    <col width="40" customWidth="1" min="17" max="17"/>
    <col width="12" customWidth="1" min="18" max="18"/>
    <col width="36" customWidth="1" min="19" max="19"/>
    <col width="60" customWidth="1" min="20" max="20"/>
    <col width="34" customWidth="1" min="21" max="21"/>
    <col width="60" customWidth="1" min="22" max="22"/>
    <col width="10" customWidth="1" min="23" max="23"/>
    <col width="26" customWidth="1" min="24" max="24"/>
    <col width="24" customWidth="1" min="25" max="25"/>
    <col width="30" customWidth="1" min="26" max="26"/>
    <col width="30" customWidth="1" min="27" max="27"/>
    <col width="16" customWidth="1" min="28" max="28"/>
    <col width="22" customWidth="1" min="29" max="29"/>
    <col width="18" customWidth="1" min="30" max="30"/>
    <col width="12" customWidth="1" min="31" max="31"/>
    <col width="11" customWidth="1" min="32" max="32"/>
    <col width="14" customWidth="1" min="33" max="33"/>
    <col width="12" customWidth="1" min="34" max="34"/>
    <col width="13" customWidth="1" min="35" max="35"/>
    <col width="12" customWidth="1" min="36" max="36"/>
    <col width="26" customWidth="1" min="37" max="37"/>
    <col width="34" customWidth="1" min="38" max="38"/>
    <col width="40" customWidth="1" min="39" max="39"/>
    <col width="26" customWidth="1" min="40" max="40"/>
    <col width="16" customWidth="1" min="41" max="41"/>
    <col width="22" customWidth="1" min="42" max="42"/>
    <col width="36" customWidth="1" min="43" max="43"/>
  </cols>
  <sheetData>
    <row r="1" ht="20" customHeight="1">
      <c r="A1" s="6" t="inlineStr">
        <is>
          <t>PLANEJAMENTO</t>
        </is>
      </c>
      <c r="P1" s="7" t="inlineStr">
        <is>
          <t>CONTEÚDO</t>
        </is>
      </c>
      <c r="AB1" s="8" t="inlineStr">
        <is>
          <t>PRODUÇÃO</t>
        </is>
      </c>
      <c r="AL1" s="9" t="inlineStr">
        <is>
          <t>DISTRIBUIÇÃO</t>
        </is>
      </c>
      <c r="AQ1" s="10" t="inlineStr">
        <is>
          <t>APRENDIZADO</t>
        </is>
      </c>
    </row>
    <row r="2" ht="44" customHeight="1">
      <c r="A2" s="11" t="inlineStr">
        <is>
          <t>ID</t>
        </is>
      </c>
      <c r="B2" s="11" t="inlineStr">
        <is>
          <t>Semana</t>
        </is>
      </c>
      <c r="C2" s="11" t="inlineStr">
        <is>
          <t>Dia</t>
        </is>
      </c>
      <c r="D2" s="11" t="inlineStr">
        <is>
          <t>Data</t>
        </is>
      </c>
      <c r="E2" s="11" t="inlineStr">
        <is>
          <t>Horário</t>
        </is>
      </c>
      <c r="F2" s="11" t="inlineStr">
        <is>
          <t>Dia do plano</t>
        </is>
      </c>
      <c r="G2" s="11" t="inlineStr">
        <is>
          <t>Fase</t>
        </is>
      </c>
      <c r="H2" s="11" t="inlineStr">
        <is>
          <t>Status</t>
        </is>
      </c>
      <c r="I2" s="11" t="inlineStr">
        <is>
          <t>Tema da semana</t>
        </is>
      </c>
      <c r="J2" s="11" t="inlineStr">
        <is>
          <t>Série</t>
        </is>
      </c>
      <c r="K2" s="11" t="inlineStr">
        <is>
          <t>Território</t>
        </is>
      </c>
      <c r="L2" s="11" t="inlineStr">
        <is>
          <t>Pauta (título interno)</t>
        </is>
      </c>
      <c r="M2" s="11" t="inlineStr">
        <is>
          <t>Objetivo (funil)</t>
        </is>
      </c>
      <c r="N2" s="11" t="inlineStr">
        <is>
          <t>Público principal</t>
        </is>
      </c>
      <c r="O2" s="11" t="inlineStr">
        <is>
          <t>KPI principal</t>
        </is>
      </c>
      <c r="P2" s="12" t="inlineStr">
        <is>
          <t>Formato</t>
        </is>
      </c>
      <c r="Q2" s="12" t="inlineStr">
        <is>
          <t>Especificações técnicas (auto)</t>
        </is>
      </c>
      <c r="R2" s="12" t="inlineStr">
        <is>
          <t>Nº slides / duração</t>
        </is>
      </c>
      <c r="S2" s="12" t="inlineStr">
        <is>
          <t>Gancho (capa ou 2 s iniciais)</t>
        </is>
      </c>
      <c r="T2" s="12" t="inlineStr">
        <is>
          <t>Roteiro / conteúdo (slide a slide ou cena a cena)</t>
        </is>
      </c>
      <c r="U2" s="12" t="inlineStr">
        <is>
          <t>Texto na tela</t>
        </is>
      </c>
      <c r="V2" s="12" t="inlineStr">
        <is>
          <t>Legenda Instagram</t>
        </is>
      </c>
      <c r="W2" s="12" t="inlineStr">
        <is>
          <t>Nº caracteres legenda</t>
        </is>
      </c>
      <c r="X2" s="12" t="inlineStr">
        <is>
          <t>CTA (uma única ação)</t>
        </is>
      </c>
      <c r="Y2" s="12" t="inlineStr">
        <is>
          <t>Palavras-chave de busca</t>
        </is>
      </c>
      <c r="Z2" s="12" t="inlineStr">
        <is>
          <t>Hashtags (3–5)</t>
        </is>
      </c>
      <c r="AA2" s="12" t="inlineStr">
        <is>
          <t>Alt text</t>
        </is>
      </c>
      <c r="AB2" s="13" t="inlineStr">
        <is>
          <t>Linha visual</t>
        </is>
      </c>
      <c r="AC2" s="13" t="inlineStr">
        <is>
          <t>Assets (códigos da sessão de fotos)</t>
        </is>
      </c>
      <c r="AD2" s="13" t="inlineStr">
        <is>
          <t>Quem aparece</t>
        </is>
      </c>
      <c r="AE2" s="13" t="inlineStr">
        <is>
          <t>Autorização de imagem arquivada?</t>
        </is>
      </c>
      <c r="AF2" s="13" t="inlineStr">
        <is>
          <t>Revisão técnica necessária?</t>
        </is>
      </c>
      <c r="AG2" s="13" t="inlineStr">
        <is>
          <t>Revisor</t>
        </is>
      </c>
      <c r="AH2" s="13" t="inlineStr">
        <is>
          <t>Prazo revisão técnica</t>
        </is>
      </c>
      <c r="AI2" s="13" t="inlineStr">
        <is>
          <t>Responsável produção</t>
        </is>
      </c>
      <c r="AJ2" s="13" t="inlineStr">
        <is>
          <t>Prazo produção</t>
        </is>
      </c>
      <c r="AK2" s="13" t="inlineStr">
        <is>
          <t>Link dos arquivos</t>
        </is>
      </c>
      <c r="AL2" s="14" t="inlineStr">
        <is>
          <t>Stories de apoio</t>
        </is>
      </c>
      <c r="AM2" s="14" t="inlineStr">
        <is>
          <t>Adaptação LinkedIn</t>
        </is>
      </c>
      <c r="AN2" s="14" t="inlineStr">
        <is>
          <t>Adaptação Facebook</t>
        </is>
      </c>
      <c r="AO2" s="14" t="inlineStr">
        <is>
          <t>Coautoria (Collab)</t>
        </is>
      </c>
      <c r="AP2" s="14" t="inlineStr">
        <is>
          <t>Link publicado</t>
        </is>
      </c>
      <c r="AQ2" s="15" t="inlineStr">
        <is>
          <t>Observações / aprendizado</t>
        </is>
      </c>
    </row>
    <row r="3" ht="190" customHeight="1">
      <c r="A3" s="16" t="inlineStr">
        <is>
          <t>FH001</t>
        </is>
      </c>
      <c r="B3" s="16" t="n">
        <v>1</v>
      </c>
      <c r="C3" s="17" t="inlineStr">
        <is>
          <t>Segunda</t>
        </is>
      </c>
      <c r="D3" s="18">
        <f>Config!$B$3+(B3-1)*7+INDEX(Listas!$M$3:$M$7,MATCH(C3,Listas!$L$3:$L$7,0))-1</f>
        <v/>
      </c>
      <c r="E3" s="19">
        <f>Config!$B$4</f>
        <v/>
      </c>
      <c r="F3" s="16">
        <f>D3-Config!$B$3+1</f>
        <v/>
      </c>
      <c r="G3" s="17">
        <f>IF(F3&lt;=30,Config!$B$16,IF(F3&lt;=60,Config!$B$17,Config!$B$18))</f>
        <v/>
      </c>
      <c r="H3" s="17" t="inlineStr">
        <is>
          <t>Em roteiro</t>
        </is>
      </c>
      <c r="I3" s="17" t="inlineStr">
        <is>
          <t>Quem somos</t>
        </is>
      </c>
      <c r="J3" s="17" t="inlineStr">
        <is>
          <t>Lançamento</t>
        </is>
      </c>
      <c r="K3" s="17" t="inlineStr">
        <is>
          <t>O cuidado começa pela pessoa</t>
        </is>
      </c>
      <c r="L3" s="17" t="inlineStr">
        <is>
          <t>Reel manifesto: Bem-vindos à FAIR HEALTH</t>
        </is>
      </c>
      <c r="M3" s="17" t="inlineStr">
        <is>
          <t>Descoberta</t>
        </is>
      </c>
      <c r="N3" s="17" t="inlineStr">
        <is>
          <t>Colaborador + RH</t>
        </is>
      </c>
      <c r="O3" s="17" t="inlineStr">
        <is>
          <t>Alcance em não seguidores; retenção</t>
        </is>
      </c>
      <c r="P3" s="17" t="inlineStr">
        <is>
          <t>Reel</t>
        </is>
      </c>
      <c r="Q3" s="17">
        <f>IFERROR(INDEX(Especificações!$G$2:$G$20,MATCH(P3,Especificações!$A$2:$A$20,0)),"")</f>
        <v/>
      </c>
      <c r="R3" s="17" t="inlineStr">
        <is>
          <t>30–45 s</t>
        </is>
      </c>
      <c r="S3" s="17" t="inlineStr">
        <is>
          <t>O afastamento não começa no atestado.</t>
        </is>
      </c>
      <c r="T3" s="17" t="inlineStr">
        <is>
          <t>0–2 s: "O afastamento não começa no atestado." (plano fechado, porta do Escritório do Cuidado abrindo)
2–7 s: "Começa antes: no sono ruim, no estresse que acumula, na dor que ninguém trata." (detalhes: mãos, caneca, relógio)
7–15 s: "A FAIR HEALTH existe para cuidar antes. Médicos, psicólogos e assistentes sociais dentro da empresa." (time no espaço)
15–22 s: "E tudo começa com uma pergunta: o que importa para você?" (cada integrante olha para a câmera)
22–30 s: "Conhecemos a rotina, os objetivos e o contexto de cada pessoa. E acompanhamos com ciência, tecnologia e dados." (smartband, bioimpedância, tela genérica)
30–35 s: "Bem-vindos à FAIR HEALTH." + logo + "O cuidado: o que importa para você?"</t>
        </is>
      </c>
      <c r="U3" s="17" t="inlineStr">
        <is>
          <t>O AFASTAMENTO NÃO COMEÇA NO ATESTADO / Começa na rotina / Cuidar antes / O que importa para você? / Bem-vindos à FAIR HEALTH</t>
        </is>
      </c>
      <c r="V3" s="17" t="inlineStr">
        <is>
          <t>O afastamento não começa no atestado.
Começa muito antes, na rotina: no sono que não descansa, no estresse que vai acumulando, na dor que ninguém teve tempo de tratar.
A FAIR HEALTH nasceu para cuidar antes. Levamos médicos, psicólogos e assistentes sociais para dentro das empresas, com um plano de cuidado feito para cada pessoa, baseado na Medicina do Estilo de Vida.
E tudo começa com uma pergunta: o que importa para você?
Nos próximos dias, você vai conhecer quem cuida por aqui.
#fairhealth #saudecorporativa #cuidadocentradonapessoa #medicinadoestilodevida #saudedotrabalhador</t>
        </is>
      </c>
      <c r="W3" s="16">
        <f>LEN(V3)</f>
        <v/>
      </c>
      <c r="X3" s="17" t="inlineStr">
        <is>
          <t>Siga para conhecer o time nos próximos dias</t>
        </is>
      </c>
      <c r="Y3" s="17" t="inlineStr">
        <is>
          <t>saúde corporativa; cuidado centrado na pessoa; Medicina do Estilo de Vida</t>
        </is>
      </c>
      <c r="Z3" s="17" t="inlineStr">
        <is>
          <t>#fairhealth #saudecorporativa #cuidadocentradonapessoa #medicinadoestilodevida #saudedotrabalhador</t>
        </is>
      </c>
      <c r="AA3" s="17" t="inlineStr">
        <is>
          <t>Vídeo de apresentação da FAIR HEALTH com o time no Escritório do Cuidado.</t>
        </is>
      </c>
      <c r="AB3" s="17" t="inlineStr">
        <is>
          <t>Vídeo com profissional</t>
        </is>
      </c>
      <c r="AC3" s="17" t="inlineStr">
        <is>
          <t>B1, B2, C2, C3</t>
        </is>
      </c>
      <c r="AD3" s="17" t="inlineStr">
        <is>
          <t>Time (vozes); espaço</t>
        </is>
      </c>
      <c r="AE3" s="17" t="inlineStr">
        <is>
          <t>Não</t>
        </is>
      </c>
      <c r="AF3" s="17" t="inlineStr">
        <is>
          <t>Não</t>
        </is>
      </c>
      <c r="AG3" s="17" t="inlineStr"/>
      <c r="AH3" s="18">
        <f>IF(AF3="Sim",WORKDAY(D3,-Config!$B$6),"")</f>
        <v/>
      </c>
      <c r="AI3" s="17" t="inlineStr">
        <is>
          <t>Nina</t>
        </is>
      </c>
      <c r="AJ3" s="18">
        <f>WORKDAY(D3,-Config!$B$5)</f>
        <v/>
      </c>
      <c r="AK3" s="17" t="n"/>
      <c r="AL3" s="17" t="inlineStr">
        <is>
          <t>Repost do Reel + figurinha de pergunta "O que importa para você?" + bastidor da gravação</t>
        </is>
      </c>
      <c r="AM3" s="17" t="inlineStr">
        <is>
          <t>Post no perfil pessoal da liderança com o vídeo: por que criamos a FAIR HEALTH e o que a pergunta "o que importa para você?" muda no cuidado corporativo. Página repostando.</t>
        </is>
      </c>
      <c r="AN3" s="17" t="inlineStr">
        <is>
          <t>Vídeo nativo com a mesma legenda (cross-post).</t>
        </is>
      </c>
      <c r="AO3" s="17" t="inlineStr">
        <is>
          <t>fairjob</t>
        </is>
      </c>
      <c r="AP3" s="17" t="n"/>
      <c r="AQ3" s="17" t="inlineStr">
        <is>
          <t>LINHA-EXEMPLO: mostra como preencher. Fixar este Reel no perfil.</t>
        </is>
      </c>
    </row>
    <row r="4" ht="42" customHeight="1">
      <c r="A4" s="16" t="inlineStr">
        <is>
          <t>FH002</t>
        </is>
      </c>
      <c r="B4" s="16" t="n">
        <v>1</v>
      </c>
      <c r="C4" s="17" t="inlineStr">
        <is>
          <t>Terça</t>
        </is>
      </c>
      <c r="D4" s="18">
        <f>Config!$B$3+(B4-1)*7+INDEX(Listas!$M$3:$M$7,MATCH(C4,Listas!$L$3:$L$7,0))-1</f>
        <v/>
      </c>
      <c r="E4" s="19">
        <f>Config!$B$4</f>
        <v/>
      </c>
      <c r="F4" s="16">
        <f>D4-Config!$B$3+1</f>
        <v/>
      </c>
      <c r="G4" s="17">
        <f>IF(F4&lt;=30,Config!$B$16,IF(F4&lt;=60,Config!$B$17,Config!$B$18))</f>
        <v/>
      </c>
      <c r="H4" s="17" t="inlineStr">
        <is>
          <t>Ideia</t>
        </is>
      </c>
      <c r="I4" s="17" t="inlineStr">
        <is>
          <t>Quem somos</t>
        </is>
      </c>
      <c r="J4" s="17" t="inlineStr">
        <is>
          <t>Lançamento</t>
        </is>
      </c>
      <c r="K4" s="17" t="inlineStr">
        <is>
          <t>É assim que a FAIR HEALTH cuida</t>
        </is>
      </c>
      <c r="L4" s="17" t="inlineStr">
        <is>
          <t>Conheça nosso time #1: Dr. Ronald</t>
        </is>
      </c>
      <c r="M4" s="17" t="inlineStr">
        <is>
          <t>Confiança</t>
        </is>
      </c>
      <c r="N4" s="17" t="inlineStr">
        <is>
          <t>Colaborador + RH</t>
        </is>
      </c>
      <c r="O4" s="17" t="inlineStr">
        <is>
          <t>Visitas ao perfil; comentários</t>
        </is>
      </c>
      <c r="P4" s="17" t="inlineStr">
        <is>
          <t>Carrossel</t>
        </is>
      </c>
      <c r="Q4" s="17">
        <f>IFERROR(INDEX(Especificações!$G$2:$G$20,MATCH(P4,Especificações!$A$2:$A$20,0)),"")</f>
        <v/>
      </c>
      <c r="R4" s="17" t="inlineStr">
        <is>
          <t>8 slides</t>
        </is>
      </c>
      <c r="S4" s="17" t="n"/>
      <c r="T4" s="17" t="n"/>
      <c r="U4" s="17" t="n"/>
      <c r="V4" s="17" t="n"/>
      <c r="W4" s="16">
        <f>LEN(V4)</f>
        <v/>
      </c>
      <c r="X4" s="17" t="n"/>
      <c r="Y4" s="17" t="n"/>
      <c r="Z4" s="17" t="inlineStr">
        <is>
          <t>#fairhealth</t>
        </is>
      </c>
      <c r="AA4" s="17" t="n"/>
      <c r="AB4" s="17" t="inlineStr">
        <is>
          <t>Institucional</t>
        </is>
      </c>
      <c r="AC4" s="17" t="inlineStr">
        <is>
          <t>C1</t>
        </is>
      </c>
      <c r="AD4" s="17" t="inlineStr">
        <is>
          <t>Dr. Ronald</t>
        </is>
      </c>
      <c r="AE4" s="17" t="n"/>
      <c r="AF4" s="17" t="inlineStr">
        <is>
          <t>Não</t>
        </is>
      </c>
      <c r="AG4" s="17" t="inlineStr"/>
      <c r="AH4" s="18">
        <f>IF(AF4="Sim",WORKDAY(D4,-Config!$B$6),"")</f>
        <v/>
      </c>
      <c r="AI4" s="17" t="n"/>
      <c r="AJ4" s="18">
        <f>WORKDAY(D4,-Config!$B$5)</f>
        <v/>
      </c>
      <c r="AK4" s="17" t="n"/>
      <c r="AL4" s="17" t="n"/>
      <c r="AM4" s="17" t="n"/>
      <c r="AN4" s="17" t="inlineStr">
        <is>
          <t>Cross-post do Instagram</t>
        </is>
      </c>
      <c r="AO4" s="17" t="n"/>
      <c r="AP4" s="17" t="n"/>
      <c r="AQ4" s="17" t="n"/>
    </row>
    <row r="5" ht="42" customHeight="1">
      <c r="A5" s="16" t="inlineStr">
        <is>
          <t>FH003</t>
        </is>
      </c>
      <c r="B5" s="16" t="n">
        <v>1</v>
      </c>
      <c r="C5" s="17" t="inlineStr">
        <is>
          <t>Quarta</t>
        </is>
      </c>
      <c r="D5" s="18">
        <f>Config!$B$3+(B5-1)*7+INDEX(Listas!$M$3:$M$7,MATCH(C5,Listas!$L$3:$L$7,0))-1</f>
        <v/>
      </c>
      <c r="E5" s="19">
        <f>Config!$B$4</f>
        <v/>
      </c>
      <c r="F5" s="16">
        <f>D5-Config!$B$3+1</f>
        <v/>
      </c>
      <c r="G5" s="17">
        <f>IF(F5&lt;=30,Config!$B$16,IF(F5&lt;=60,Config!$B$17,Config!$B$18))</f>
        <v/>
      </c>
      <c r="H5" s="17" t="inlineStr">
        <is>
          <t>Ideia</t>
        </is>
      </c>
      <c r="I5" s="17" t="inlineStr">
        <is>
          <t>Quem somos</t>
        </is>
      </c>
      <c r="J5" s="17" t="inlineStr">
        <is>
          <t>Lançamento</t>
        </is>
      </c>
      <c r="K5" s="17" t="inlineStr">
        <is>
          <t>É assim que a FAIR HEALTH cuida</t>
        </is>
      </c>
      <c r="L5" s="17" t="inlineStr">
        <is>
          <t>Conheça nosso time #2: Dra. Floriana</t>
        </is>
      </c>
      <c r="M5" s="17" t="inlineStr">
        <is>
          <t>Confiança</t>
        </is>
      </c>
      <c r="N5" s="17" t="inlineStr">
        <is>
          <t>Colaborador + RH</t>
        </is>
      </c>
      <c r="O5" s="17" t="inlineStr">
        <is>
          <t>Visitas ao perfil; comentários</t>
        </is>
      </c>
      <c r="P5" s="17" t="inlineStr">
        <is>
          <t>Carrossel</t>
        </is>
      </c>
      <c r="Q5" s="17">
        <f>IFERROR(INDEX(Especificações!$G$2:$G$20,MATCH(P5,Especificações!$A$2:$A$20,0)),"")</f>
        <v/>
      </c>
      <c r="R5" s="17" t="inlineStr">
        <is>
          <t>8 slides</t>
        </is>
      </c>
      <c r="S5" s="17" t="n"/>
      <c r="T5" s="17" t="n"/>
      <c r="U5" s="17" t="n"/>
      <c r="V5" s="17" t="n"/>
      <c r="W5" s="16">
        <f>LEN(V5)</f>
        <v/>
      </c>
      <c r="X5" s="17" t="n"/>
      <c r="Y5" s="17" t="n"/>
      <c r="Z5" s="17" t="inlineStr">
        <is>
          <t>#fairhealth</t>
        </is>
      </c>
      <c r="AA5" s="17" t="n"/>
      <c r="AB5" s="17" t="inlineStr">
        <is>
          <t>Institucional</t>
        </is>
      </c>
      <c r="AC5" s="17" t="inlineStr">
        <is>
          <t>C1</t>
        </is>
      </c>
      <c r="AD5" s="17" t="inlineStr">
        <is>
          <t>Dra. Floriana</t>
        </is>
      </c>
      <c r="AE5" s="17" t="n"/>
      <c r="AF5" s="17" t="inlineStr">
        <is>
          <t>Não</t>
        </is>
      </c>
      <c r="AG5" s="17" t="inlineStr"/>
      <c r="AH5" s="18">
        <f>IF(AF5="Sim",WORKDAY(D5,-Config!$B$6),"")</f>
        <v/>
      </c>
      <c r="AI5" s="17" t="n"/>
      <c r="AJ5" s="18">
        <f>WORKDAY(D5,-Config!$B$5)</f>
        <v/>
      </c>
      <c r="AK5" s="17" t="n"/>
      <c r="AL5" s="17" t="n"/>
      <c r="AM5" s="17" t="n"/>
      <c r="AN5" s="17" t="inlineStr">
        <is>
          <t>Cross-post do Instagram</t>
        </is>
      </c>
      <c r="AO5" s="17" t="n"/>
      <c r="AP5" s="17" t="n"/>
      <c r="AQ5" s="17" t="n"/>
    </row>
    <row r="6" ht="42" customHeight="1">
      <c r="A6" s="16" t="inlineStr">
        <is>
          <t>FH004</t>
        </is>
      </c>
      <c r="B6" s="16" t="n">
        <v>1</v>
      </c>
      <c r="C6" s="17" t="inlineStr">
        <is>
          <t>Quinta</t>
        </is>
      </c>
      <c r="D6" s="18">
        <f>Config!$B$3+(B6-1)*7+INDEX(Listas!$M$3:$M$7,MATCH(C6,Listas!$L$3:$L$7,0))-1</f>
        <v/>
      </c>
      <c r="E6" s="19">
        <f>Config!$B$4</f>
        <v/>
      </c>
      <c r="F6" s="16">
        <f>D6-Config!$B$3+1</f>
        <v/>
      </c>
      <c r="G6" s="17">
        <f>IF(F6&lt;=30,Config!$B$16,IF(F6&lt;=60,Config!$B$17,Config!$B$18))</f>
        <v/>
      </c>
      <c r="H6" s="17" t="inlineStr">
        <is>
          <t>Ideia</t>
        </is>
      </c>
      <c r="I6" s="17" t="inlineStr">
        <is>
          <t>Quem somos</t>
        </is>
      </c>
      <c r="J6" s="17" t="inlineStr">
        <is>
          <t>Por dentro da FAIR HEALTH</t>
        </is>
      </c>
      <c r="K6" s="17" t="inlineStr">
        <is>
          <t>É assim que a FAIR HEALTH cuida</t>
        </is>
      </c>
      <c r="L6" s="17" t="inlineStr">
        <is>
          <t>Por dentro: o time respondendo "O que importa para você?"</t>
        </is>
      </c>
      <c r="M6" s="17" t="inlineStr">
        <is>
          <t>Descoberta</t>
        </is>
      </c>
      <c r="N6" s="17" t="inlineStr">
        <is>
          <t>Colaborador + RH</t>
        </is>
      </c>
      <c r="O6" s="17" t="inlineStr">
        <is>
          <t>Alcance em não seguidores; retenção</t>
        </is>
      </c>
      <c r="P6" s="17" t="inlineStr">
        <is>
          <t>Reel</t>
        </is>
      </c>
      <c r="Q6" s="17">
        <f>IFERROR(INDEX(Especificações!$G$2:$G$20,MATCH(P6,Especificações!$A$2:$A$20,0)),"")</f>
        <v/>
      </c>
      <c r="R6" s="17" t="inlineStr">
        <is>
          <t>30–45 s</t>
        </is>
      </c>
      <c r="S6" s="17" t="n"/>
      <c r="T6" s="17" t="n"/>
      <c r="U6" s="17" t="n"/>
      <c r="V6" s="17" t="n"/>
      <c r="W6" s="16">
        <f>LEN(V6)</f>
        <v/>
      </c>
      <c r="X6" s="17" t="n"/>
      <c r="Y6" s="17" t="n"/>
      <c r="Z6" s="17" t="inlineStr">
        <is>
          <t>#fairhealth</t>
        </is>
      </c>
      <c r="AA6" s="17" t="n"/>
      <c r="AB6" s="17" t="inlineStr">
        <is>
          <t>Vídeo com profissional</t>
        </is>
      </c>
      <c r="AC6" s="17" t="inlineStr">
        <is>
          <t>C2, C3, C5</t>
        </is>
      </c>
      <c r="AD6" s="17" t="inlineStr">
        <is>
          <t>Time</t>
        </is>
      </c>
      <c r="AE6" s="17" t="n"/>
      <c r="AF6" s="17" t="inlineStr">
        <is>
          <t>Não</t>
        </is>
      </c>
      <c r="AG6" s="17" t="inlineStr"/>
      <c r="AH6" s="18">
        <f>IF(AF6="Sim",WORKDAY(D6,-Config!$B$6),"")</f>
        <v/>
      </c>
      <c r="AI6" s="17" t="n"/>
      <c r="AJ6" s="18">
        <f>WORKDAY(D6,-Config!$B$5)</f>
        <v/>
      </c>
      <c r="AK6" s="17" t="n"/>
      <c r="AL6" s="17" t="n"/>
      <c r="AM6" s="17" t="n"/>
      <c r="AN6" s="17" t="inlineStr">
        <is>
          <t>Cross-post do Instagram</t>
        </is>
      </c>
      <c r="AO6" s="17" t="n"/>
      <c r="AP6" s="17" t="n"/>
      <c r="AQ6" s="17" t="n"/>
    </row>
    <row r="7" ht="42" customHeight="1">
      <c r="A7" s="16" t="inlineStr">
        <is>
          <t>FH005</t>
        </is>
      </c>
      <c r="B7" s="16" t="n">
        <v>1</v>
      </c>
      <c r="C7" s="17" t="inlineStr">
        <is>
          <t>Sexta</t>
        </is>
      </c>
      <c r="D7" s="18">
        <f>Config!$B$3+(B7-1)*7+INDEX(Listas!$M$3:$M$7,MATCH(C7,Listas!$L$3:$L$7,0))-1</f>
        <v/>
      </c>
      <c r="E7" s="19">
        <f>Config!$B$4</f>
        <v/>
      </c>
      <c r="F7" s="16">
        <f>D7-Config!$B$3+1</f>
        <v/>
      </c>
      <c r="G7" s="17">
        <f>IF(F7&lt;=30,Config!$B$16,IF(F7&lt;=60,Config!$B$17,Config!$B$18))</f>
        <v/>
      </c>
      <c r="H7" s="17" t="inlineStr">
        <is>
          <t>Ideia</t>
        </is>
      </c>
      <c r="I7" s="17" t="inlineStr">
        <is>
          <t>Quem somos</t>
        </is>
      </c>
      <c r="J7" s="17" t="inlineStr">
        <is>
          <t>Lançamento</t>
        </is>
      </c>
      <c r="K7" s="17" t="inlineStr">
        <is>
          <t>É assim que a FAIR HEALTH cuida</t>
        </is>
      </c>
      <c r="L7" s="17" t="inlineStr">
        <is>
          <t>Conheça nosso time #3: Dra. Marília</t>
        </is>
      </c>
      <c r="M7" s="17" t="inlineStr">
        <is>
          <t>Confiança</t>
        </is>
      </c>
      <c r="N7" s="17" t="inlineStr">
        <is>
          <t>Colaborador + RH</t>
        </is>
      </c>
      <c r="O7" s="17" t="inlineStr">
        <is>
          <t>Visitas ao perfil; comentários</t>
        </is>
      </c>
      <c r="P7" s="17" t="inlineStr">
        <is>
          <t>Carrossel</t>
        </is>
      </c>
      <c r="Q7" s="17">
        <f>IFERROR(INDEX(Especificações!$G$2:$G$20,MATCH(P7,Especificações!$A$2:$A$20,0)),"")</f>
        <v/>
      </c>
      <c r="R7" s="17" t="inlineStr">
        <is>
          <t>8 slides</t>
        </is>
      </c>
      <c r="S7" s="17" t="n"/>
      <c r="T7" s="17" t="n"/>
      <c r="U7" s="17" t="n"/>
      <c r="V7" s="17" t="n"/>
      <c r="W7" s="16">
        <f>LEN(V7)</f>
        <v/>
      </c>
      <c r="X7" s="17" t="n"/>
      <c r="Y7" s="17" t="n"/>
      <c r="Z7" s="17" t="inlineStr">
        <is>
          <t>#fairhealth</t>
        </is>
      </c>
      <c r="AA7" s="17" t="n"/>
      <c r="AB7" s="17" t="inlineStr">
        <is>
          <t>Institucional</t>
        </is>
      </c>
      <c r="AC7" s="17" t="inlineStr">
        <is>
          <t>C1</t>
        </is>
      </c>
      <c r="AD7" s="17" t="inlineStr">
        <is>
          <t>Dra. Marília</t>
        </is>
      </c>
      <c r="AE7" s="17" t="n"/>
      <c r="AF7" s="17" t="inlineStr">
        <is>
          <t>Não</t>
        </is>
      </c>
      <c r="AG7" s="17" t="inlineStr"/>
      <c r="AH7" s="18">
        <f>IF(AF7="Sim",WORKDAY(D7,-Config!$B$6),"")</f>
        <v/>
      </c>
      <c r="AI7" s="17" t="n"/>
      <c r="AJ7" s="18">
        <f>WORKDAY(D7,-Config!$B$5)</f>
        <v/>
      </c>
      <c r="AK7" s="17" t="n"/>
      <c r="AL7" s="17" t="n"/>
      <c r="AM7" s="17" t="n"/>
      <c r="AN7" s="17" t="inlineStr">
        <is>
          <t>Cross-post do Instagram</t>
        </is>
      </c>
      <c r="AO7" s="17" t="n"/>
      <c r="AP7" s="17" t="n"/>
      <c r="AQ7" s="17" t="n"/>
    </row>
    <row r="8" ht="42" customHeight="1">
      <c r="A8" s="20" t="inlineStr">
        <is>
          <t>FH006</t>
        </is>
      </c>
      <c r="B8" s="20" t="n">
        <v>2</v>
      </c>
      <c r="C8" s="21" t="inlineStr">
        <is>
          <t>Segunda</t>
        </is>
      </c>
      <c r="D8" s="22">
        <f>Config!$B$3+(B8-1)*7+INDEX(Listas!$M$3:$M$7,MATCH(C8,Listas!$L$3:$L$7,0))-1</f>
        <v/>
      </c>
      <c r="E8" s="23">
        <f>Config!$B$4</f>
        <v/>
      </c>
      <c r="F8" s="20">
        <f>D8-Config!$B$3+1</f>
        <v/>
      </c>
      <c r="G8" s="21">
        <f>IF(F8&lt;=30,Config!$B$16,IF(F8&lt;=60,Config!$B$17,Config!$B$18))</f>
        <v/>
      </c>
      <c r="H8" s="21" t="inlineStr">
        <is>
          <t>Ideia</t>
        </is>
      </c>
      <c r="I8" s="21" t="inlineStr">
        <is>
          <t>Quem cuida</t>
        </is>
      </c>
      <c r="J8" s="21" t="inlineStr">
        <is>
          <t>Lançamento</t>
        </is>
      </c>
      <c r="K8" s="21" t="inlineStr">
        <is>
          <t>É assim que a FAIR HEALTH cuida</t>
        </is>
      </c>
      <c r="L8" s="21" t="inlineStr">
        <is>
          <t>Conheça nosso time #4: Nina</t>
        </is>
      </c>
      <c r="M8" s="21" t="inlineStr">
        <is>
          <t>Confiança</t>
        </is>
      </c>
      <c r="N8" s="21" t="inlineStr">
        <is>
          <t>Colaborador + RH</t>
        </is>
      </c>
      <c r="O8" s="21" t="inlineStr">
        <is>
          <t>Visitas ao perfil; comentários</t>
        </is>
      </c>
      <c r="P8" s="21" t="inlineStr">
        <is>
          <t>Carrossel</t>
        </is>
      </c>
      <c r="Q8" s="21">
        <f>IFERROR(INDEX(Especificações!$G$2:$G$20,MATCH(P8,Especificações!$A$2:$A$20,0)),"")</f>
        <v/>
      </c>
      <c r="R8" s="21" t="inlineStr">
        <is>
          <t>8 slides</t>
        </is>
      </c>
      <c r="S8" s="21" t="n"/>
      <c r="T8" s="21" t="n"/>
      <c r="U8" s="21" t="n"/>
      <c r="V8" s="21" t="n"/>
      <c r="W8" s="20">
        <f>LEN(V8)</f>
        <v/>
      </c>
      <c r="X8" s="21" t="n"/>
      <c r="Y8" s="21" t="n"/>
      <c r="Z8" s="21" t="inlineStr">
        <is>
          <t>#fairhealth</t>
        </is>
      </c>
      <c r="AA8" s="21" t="n"/>
      <c r="AB8" s="21" t="inlineStr">
        <is>
          <t>Institucional</t>
        </is>
      </c>
      <c r="AC8" s="21" t="inlineStr">
        <is>
          <t>C1, C4</t>
        </is>
      </c>
      <c r="AD8" s="21" t="inlineStr">
        <is>
          <t>Nina</t>
        </is>
      </c>
      <c r="AE8" s="21" t="n"/>
      <c r="AF8" s="21" t="inlineStr">
        <is>
          <t>Não</t>
        </is>
      </c>
      <c r="AG8" s="21" t="inlineStr"/>
      <c r="AH8" s="22">
        <f>IF(AF8="Sim",WORKDAY(D8,-Config!$B$6),"")</f>
        <v/>
      </c>
      <c r="AI8" s="21" t="n"/>
      <c r="AJ8" s="22">
        <f>WORKDAY(D8,-Config!$B$5)</f>
        <v/>
      </c>
      <c r="AK8" s="21" t="n"/>
      <c r="AL8" s="21" t="n"/>
      <c r="AM8" s="21" t="n"/>
      <c r="AN8" s="21" t="inlineStr">
        <is>
          <t>Cross-post do Instagram</t>
        </is>
      </c>
      <c r="AO8" s="21" t="n"/>
      <c r="AP8" s="21" t="n"/>
      <c r="AQ8" s="21" t="n"/>
    </row>
    <row r="9" ht="42" customHeight="1">
      <c r="A9" s="20" t="inlineStr">
        <is>
          <t>FH007</t>
        </is>
      </c>
      <c r="B9" s="20" t="n">
        <v>2</v>
      </c>
      <c r="C9" s="21" t="inlineStr">
        <is>
          <t>Terça</t>
        </is>
      </c>
      <c r="D9" s="22">
        <f>Config!$B$3+(B9-1)*7+INDEX(Listas!$M$3:$M$7,MATCH(C9,Listas!$L$3:$L$7,0))-1</f>
        <v/>
      </c>
      <c r="E9" s="23">
        <f>Config!$B$4</f>
        <v/>
      </c>
      <c r="F9" s="20">
        <f>D9-Config!$B$3+1</f>
        <v/>
      </c>
      <c r="G9" s="21">
        <f>IF(F9&lt;=30,Config!$B$16,IF(F9&lt;=60,Config!$B$17,Config!$B$18))</f>
        <v/>
      </c>
      <c r="H9" s="21" t="inlineStr">
        <is>
          <t>Ideia</t>
        </is>
      </c>
      <c r="I9" s="21" t="inlineStr">
        <is>
          <t>Quem cuida</t>
        </is>
      </c>
      <c r="J9" s="21" t="inlineStr">
        <is>
          <t>1 Minuto de Cuidado</t>
        </is>
      </c>
      <c r="K9" s="21" t="inlineStr">
        <is>
          <t>O cuidado começa pela pessoa</t>
        </is>
      </c>
      <c r="L9" s="21" t="inlineStr">
        <is>
          <t>1 Minuto de Cuidado: por que começamos perguntando "o que importa para você?"</t>
        </is>
      </c>
      <c r="M9" s="21" t="inlineStr">
        <is>
          <t>Descoberta</t>
        </is>
      </c>
      <c r="N9" s="21" t="inlineStr">
        <is>
          <t>Colaborador</t>
        </is>
      </c>
      <c r="O9" s="21" t="inlineStr">
        <is>
          <t>Alcance em não seguidores; retenção</t>
        </is>
      </c>
      <c r="P9" s="21" t="inlineStr">
        <is>
          <t>Reel</t>
        </is>
      </c>
      <c r="Q9" s="21">
        <f>IFERROR(INDEX(Especificações!$G$2:$G$20,MATCH(P9,Especificações!$A$2:$A$20,0)),"")</f>
        <v/>
      </c>
      <c r="R9" s="21" t="inlineStr">
        <is>
          <t>30–45 s</t>
        </is>
      </c>
      <c r="S9" s="21" t="n"/>
      <c r="T9" s="21" t="n"/>
      <c r="U9" s="21" t="n"/>
      <c r="V9" s="21" t="n"/>
      <c r="W9" s="20">
        <f>LEN(V9)</f>
        <v/>
      </c>
      <c r="X9" s="21" t="n"/>
      <c r="Y9" s="21" t="n"/>
      <c r="Z9" s="21" t="inlineStr">
        <is>
          <t>#fairhealth</t>
        </is>
      </c>
      <c r="AA9" s="21" t="n"/>
      <c r="AB9" s="21" t="inlineStr">
        <is>
          <t>Vídeo com profissional</t>
        </is>
      </c>
      <c r="AC9" s="21" t="inlineStr">
        <is>
          <t>C5</t>
        </is>
      </c>
      <c r="AD9" s="21" t="inlineStr">
        <is>
          <t>Dr. Ronald ou Dra. Floriana</t>
        </is>
      </c>
      <c r="AE9" s="21" t="n"/>
      <c r="AF9" s="21" t="inlineStr">
        <is>
          <t>Sim</t>
        </is>
      </c>
      <c r="AG9" s="21" t="inlineStr">
        <is>
          <t>Dr. Ronald / Dra. Floriana</t>
        </is>
      </c>
      <c r="AH9" s="22">
        <f>IF(AF9="Sim",WORKDAY(D9,-Config!$B$6),"")</f>
        <v/>
      </c>
      <c r="AI9" s="21" t="n"/>
      <c r="AJ9" s="22">
        <f>WORKDAY(D9,-Config!$B$5)</f>
        <v/>
      </c>
      <c r="AK9" s="21" t="n"/>
      <c r="AL9" s="21" t="n"/>
      <c r="AM9" s="21" t="n"/>
      <c r="AN9" s="21" t="inlineStr">
        <is>
          <t>Cross-post do Instagram</t>
        </is>
      </c>
      <c r="AO9" s="21" t="n"/>
      <c r="AP9" s="21" t="n"/>
      <c r="AQ9" s="21" t="n"/>
    </row>
    <row r="10" ht="42" customHeight="1">
      <c r="A10" s="20" t="inlineStr">
        <is>
          <t>FH008</t>
        </is>
      </c>
      <c r="B10" s="20" t="n">
        <v>2</v>
      </c>
      <c r="C10" s="21" t="inlineStr">
        <is>
          <t>Quarta</t>
        </is>
      </c>
      <c r="D10" s="22">
        <f>Config!$B$3+(B10-1)*7+INDEX(Listas!$M$3:$M$7,MATCH(C10,Listas!$L$3:$L$7,0))-1</f>
        <v/>
      </c>
      <c r="E10" s="23">
        <f>Config!$B$4</f>
        <v/>
      </c>
      <c r="F10" s="20">
        <f>D10-Config!$B$3+1</f>
        <v/>
      </c>
      <c r="G10" s="21">
        <f>IF(F10&lt;=30,Config!$B$16,IF(F10&lt;=60,Config!$B$17,Config!$B$18))</f>
        <v/>
      </c>
      <c r="H10" s="21" t="inlineStr">
        <is>
          <t>Ideia</t>
        </is>
      </c>
      <c r="I10" s="21" t="inlineStr">
        <is>
          <t>Quem cuida</t>
        </is>
      </c>
      <c r="J10" s="21" t="inlineStr">
        <is>
          <t>Lançamento</t>
        </is>
      </c>
      <c r="K10" s="21" t="inlineStr">
        <is>
          <t>É assim que a FAIR HEALTH cuida</t>
        </is>
      </c>
      <c r="L10" s="21" t="inlineStr">
        <is>
          <t>Conheça nosso time #5: [integrante a definir]</t>
        </is>
      </c>
      <c r="M10" s="21" t="inlineStr">
        <is>
          <t>Confiança</t>
        </is>
      </c>
      <c r="N10" s="21" t="inlineStr">
        <is>
          <t>Colaborador + RH</t>
        </is>
      </c>
      <c r="O10" s="21" t="inlineStr">
        <is>
          <t>Visitas ao perfil; comentários</t>
        </is>
      </c>
      <c r="P10" s="21" t="inlineStr">
        <is>
          <t>Carrossel</t>
        </is>
      </c>
      <c r="Q10" s="21">
        <f>IFERROR(INDEX(Especificações!$G$2:$G$20,MATCH(P10,Especificações!$A$2:$A$20,0)),"")</f>
        <v/>
      </c>
      <c r="R10" s="21" t="inlineStr">
        <is>
          <t>8 slides</t>
        </is>
      </c>
      <c r="S10" s="21" t="n"/>
      <c r="T10" s="21" t="n"/>
      <c r="U10" s="21" t="n"/>
      <c r="V10" s="21" t="n"/>
      <c r="W10" s="20">
        <f>LEN(V10)</f>
        <v/>
      </c>
      <c r="X10" s="21" t="n"/>
      <c r="Y10" s="21" t="n"/>
      <c r="Z10" s="21" t="inlineStr">
        <is>
          <t>#fairhealth</t>
        </is>
      </c>
      <c r="AA10" s="21" t="n"/>
      <c r="AB10" s="21" t="inlineStr">
        <is>
          <t>Institucional</t>
        </is>
      </c>
      <c r="AC10" s="21" t="inlineStr">
        <is>
          <t>C1</t>
        </is>
      </c>
      <c r="AD10" s="21" t="inlineStr">
        <is>
          <t>Integrante #5</t>
        </is>
      </c>
      <c r="AE10" s="21" t="n"/>
      <c r="AF10" s="21" t="inlineStr">
        <is>
          <t>Não</t>
        </is>
      </c>
      <c r="AG10" s="21" t="inlineStr"/>
      <c r="AH10" s="22">
        <f>IF(AF10="Sim",WORKDAY(D10,-Config!$B$6),"")</f>
        <v/>
      </c>
      <c r="AI10" s="21" t="n"/>
      <c r="AJ10" s="22">
        <f>WORKDAY(D10,-Config!$B$5)</f>
        <v/>
      </c>
      <c r="AK10" s="21" t="n"/>
      <c r="AL10" s="21" t="n"/>
      <c r="AM10" s="21" t="n"/>
      <c r="AN10" s="21" t="inlineStr">
        <is>
          <t>Cross-post do Instagram</t>
        </is>
      </c>
      <c r="AO10" s="21" t="n"/>
      <c r="AP10" s="21" t="n"/>
      <c r="AQ10" s="21" t="n"/>
    </row>
    <row r="11" ht="42" customHeight="1">
      <c r="A11" s="20" t="inlineStr">
        <is>
          <t>FH009</t>
        </is>
      </c>
      <c r="B11" s="20" t="n">
        <v>2</v>
      </c>
      <c r="C11" s="21" t="inlineStr">
        <is>
          <t>Quinta</t>
        </is>
      </c>
      <c r="D11" s="22">
        <f>Config!$B$3+(B11-1)*7+INDEX(Listas!$M$3:$M$7,MATCH(C11,Listas!$L$3:$L$7,0))-1</f>
        <v/>
      </c>
      <c r="E11" s="23">
        <f>Config!$B$4</f>
        <v/>
      </c>
      <c r="F11" s="20">
        <f>D11-Config!$B$3+1</f>
        <v/>
      </c>
      <c r="G11" s="21">
        <f>IF(F11&lt;=30,Config!$B$16,IF(F11&lt;=60,Config!$B$17,Config!$B$18))</f>
        <v/>
      </c>
      <c r="H11" s="21" t="inlineStr">
        <is>
          <t>Ideia</t>
        </is>
      </c>
      <c r="I11" s="21" t="inlineStr">
        <is>
          <t>Quem cuida</t>
        </is>
      </c>
      <c r="J11" s="21" t="inlineStr">
        <is>
          <t>Por dentro da FAIR HEALTH</t>
        </is>
      </c>
      <c r="K11" s="21" t="inlineStr">
        <is>
          <t>É assim que a FAIR HEALTH cuida</t>
        </is>
      </c>
      <c r="L11" s="21" t="inlineStr">
        <is>
          <t>Por dentro do Escritório do Cuidado (espaço, atendimento, tecnologia)</t>
        </is>
      </c>
      <c r="M11" s="21" t="inlineStr">
        <is>
          <t>Confiança</t>
        </is>
      </c>
      <c r="N11" s="21" t="inlineStr">
        <is>
          <t>Colaborador + RH</t>
        </is>
      </c>
      <c r="O11" s="21" t="inlineStr">
        <is>
          <t>Visitas ao perfil; comentários</t>
        </is>
      </c>
      <c r="P11" s="21" t="inlineStr">
        <is>
          <t>Reel</t>
        </is>
      </c>
      <c r="Q11" s="21">
        <f>IFERROR(INDEX(Especificações!$G$2:$G$20,MATCH(P11,Especificações!$A$2:$A$20,0)),"")</f>
        <v/>
      </c>
      <c r="R11" s="21" t="inlineStr">
        <is>
          <t>30–45 s</t>
        </is>
      </c>
      <c r="S11" s="21" t="n"/>
      <c r="T11" s="21" t="n"/>
      <c r="U11" s="21" t="n"/>
      <c r="V11" s="21" t="n"/>
      <c r="W11" s="20">
        <f>LEN(V11)</f>
        <v/>
      </c>
      <c r="X11" s="21" t="n"/>
      <c r="Y11" s="21" t="n"/>
      <c r="Z11" s="21" t="inlineStr">
        <is>
          <t>#fairhealth</t>
        </is>
      </c>
      <c r="AA11" s="21" t="n"/>
      <c r="AB11" s="21" t="inlineStr">
        <is>
          <t>Vídeo com profissional</t>
        </is>
      </c>
      <c r="AC11" s="21" t="inlineStr">
        <is>
          <t>B1–B4, A3, A4</t>
        </is>
      </c>
      <c r="AD11" s="21" t="inlineStr">
        <is>
          <t>Time; mãos de modelo</t>
        </is>
      </c>
      <c r="AE11" s="21" t="n"/>
      <c r="AF11" s="21" t="inlineStr">
        <is>
          <t>Não</t>
        </is>
      </c>
      <c r="AG11" s="21" t="inlineStr"/>
      <c r="AH11" s="22">
        <f>IF(AF11="Sim",WORKDAY(D11,-Config!$B$6),"")</f>
        <v/>
      </c>
      <c r="AI11" s="21" t="n"/>
      <c r="AJ11" s="22">
        <f>WORKDAY(D11,-Config!$B$5)</f>
        <v/>
      </c>
      <c r="AK11" s="21" t="n"/>
      <c r="AL11" s="21" t="n"/>
      <c r="AM11" s="21" t="n"/>
      <c r="AN11" s="21" t="inlineStr">
        <is>
          <t>Cross-post do Instagram</t>
        </is>
      </c>
      <c r="AO11" s="21" t="n"/>
      <c r="AP11" s="21" t="n"/>
      <c r="AQ11" s="21" t="n"/>
    </row>
    <row r="12" ht="42" customHeight="1">
      <c r="A12" s="20" t="inlineStr">
        <is>
          <t>FH010</t>
        </is>
      </c>
      <c r="B12" s="20" t="n">
        <v>2</v>
      </c>
      <c r="C12" s="21" t="inlineStr">
        <is>
          <t>Sexta</t>
        </is>
      </c>
      <c r="D12" s="22">
        <f>Config!$B$3+(B12-1)*7+INDEX(Listas!$M$3:$M$7,MATCH(C12,Listas!$L$3:$L$7,0))-1</f>
        <v/>
      </c>
      <c r="E12" s="23">
        <f>Config!$B$4</f>
        <v/>
      </c>
      <c r="F12" s="20">
        <f>D12-Config!$B$3+1</f>
        <v/>
      </c>
      <c r="G12" s="21">
        <f>IF(F12&lt;=30,Config!$B$16,IF(F12&lt;=60,Config!$B$17,Config!$B$18))</f>
        <v/>
      </c>
      <c r="H12" s="21" t="inlineStr">
        <is>
          <t>Ideia</t>
        </is>
      </c>
      <c r="I12" s="21" t="inlineStr">
        <is>
          <t>Quem cuida</t>
        </is>
      </c>
      <c r="J12" s="21" t="inlineStr">
        <is>
          <t>Empresas que cuidam</t>
        </is>
      </c>
      <c r="K12" s="21" t="inlineStr">
        <is>
          <t>É assim que a FAIR HEALTH cuida</t>
        </is>
      </c>
      <c r="L12" s="21" t="inlineStr">
        <is>
          <t>Como a FAIR HEALTH cuida: medir, cuidar, conscientizar, comprovar</t>
        </is>
      </c>
      <c r="M12" s="21" t="inlineStr">
        <is>
          <t>Interesse</t>
        </is>
      </c>
      <c r="N12" s="21" t="inlineStr">
        <is>
          <t>RH e liderança</t>
        </is>
      </c>
      <c r="O12" s="21" t="inlineStr">
        <is>
          <t>Salvamentos + envios por alcance</t>
        </is>
      </c>
      <c r="P12" s="21" t="inlineStr">
        <is>
          <t>Carrossel</t>
        </is>
      </c>
      <c r="Q12" s="21">
        <f>IFERROR(INDEX(Especificações!$G$2:$G$20,MATCH(P12,Especificações!$A$2:$A$20,0)),"")</f>
        <v/>
      </c>
      <c r="R12" s="21" t="inlineStr">
        <is>
          <t>8 slides</t>
        </is>
      </c>
      <c r="S12" s="21" t="n"/>
      <c r="T12" s="21" t="n"/>
      <c r="U12" s="21" t="n"/>
      <c r="V12" s="21" t="n"/>
      <c r="W12" s="20">
        <f>LEN(V12)</f>
        <v/>
      </c>
      <c r="X12" s="21" t="n"/>
      <c r="Y12" s="21" t="n"/>
      <c r="Z12" s="21" t="inlineStr">
        <is>
          <t>#fairhealth</t>
        </is>
      </c>
      <c r="AA12" s="21" t="n"/>
      <c r="AB12" s="21" t="inlineStr">
        <is>
          <t>Institucional</t>
        </is>
      </c>
      <c r="AC12" s="21" t="inlineStr">
        <is>
          <t>arte pronta: instagram/posts/estreia (carrossel #3)</t>
        </is>
      </c>
      <c r="AD12" s="21" t="inlineStr">
        <is>
          <t>—</t>
        </is>
      </c>
      <c r="AE12" s="21" t="n"/>
      <c r="AF12" s="21" t="inlineStr">
        <is>
          <t>Não</t>
        </is>
      </c>
      <c r="AG12" s="21" t="inlineStr"/>
      <c r="AH12" s="22">
        <f>IF(AF12="Sim",WORKDAY(D12,-Config!$B$6),"")</f>
        <v/>
      </c>
      <c r="AI12" s="21" t="n"/>
      <c r="AJ12" s="22">
        <f>WORKDAY(D12,-Config!$B$5)</f>
        <v/>
      </c>
      <c r="AK12" s="21" t="n"/>
      <c r="AL12" s="21" t="n"/>
      <c r="AM12" s="21" t="n"/>
      <c r="AN12" s="21" t="inlineStr">
        <is>
          <t>Cross-post do Instagram</t>
        </is>
      </c>
      <c r="AO12" s="21" t="n"/>
      <c r="AP12" s="21" t="n"/>
      <c r="AQ12" s="21" t="n"/>
    </row>
    <row r="13" ht="42" customHeight="1">
      <c r="A13" s="16" t="inlineStr">
        <is>
          <t>FH011</t>
        </is>
      </c>
      <c r="B13" s="16" t="n">
        <v>3</v>
      </c>
      <c r="C13" s="17" t="inlineStr">
        <is>
          <t>Segunda</t>
        </is>
      </c>
      <c r="D13" s="18">
        <f>Config!$B$3+(B13-1)*7+INDEX(Listas!$M$3:$M$7,MATCH(C13,Listas!$L$3:$L$7,0))-1</f>
        <v/>
      </c>
      <c r="E13" s="19">
        <f>Config!$B$4</f>
        <v/>
      </c>
      <c r="F13" s="16">
        <f>D13-Config!$B$3+1</f>
        <v/>
      </c>
      <c r="G13" s="17">
        <f>IF(F13&lt;=30,Config!$B$16,IF(F13&lt;=60,Config!$B$17,Config!$B$18))</f>
        <v/>
      </c>
      <c r="H13" s="17" t="inlineStr">
        <is>
          <t>Ideia</t>
        </is>
      </c>
      <c r="I13" s="17" t="inlineStr">
        <is>
          <t>Como cuidamos</t>
        </is>
      </c>
      <c r="J13" s="17" t="inlineStr">
        <is>
          <t>O que importa para você?</t>
        </is>
      </c>
      <c r="K13" s="17" t="inlineStr">
        <is>
          <t>O cuidado começa pela pessoa</t>
        </is>
      </c>
      <c r="L13" s="17" t="inlineStr">
        <is>
          <t>Os pilares da saúde: os 7 pilares da MEV (diagrama)</t>
        </is>
      </c>
      <c r="M13" s="17" t="inlineStr">
        <is>
          <t>Interesse</t>
        </is>
      </c>
      <c r="N13" s="17" t="inlineStr">
        <is>
          <t>Colaborador</t>
        </is>
      </c>
      <c r="O13" s="17" t="inlineStr">
        <is>
          <t>Salvamentos + envios por alcance</t>
        </is>
      </c>
      <c r="P13" s="17" t="inlineStr">
        <is>
          <t>Carrossel</t>
        </is>
      </c>
      <c r="Q13" s="17">
        <f>IFERROR(INDEX(Especificações!$G$2:$G$20,MATCH(P13,Especificações!$A$2:$A$20,0)),"")</f>
        <v/>
      </c>
      <c r="R13" s="17" t="inlineStr">
        <is>
          <t>8 slides</t>
        </is>
      </c>
      <c r="S13" s="17" t="n"/>
      <c r="T13" s="17" t="n"/>
      <c r="U13" s="17" t="n"/>
      <c r="V13" s="17" t="n"/>
      <c r="W13" s="16">
        <f>LEN(V13)</f>
        <v/>
      </c>
      <c r="X13" s="17" t="n"/>
      <c r="Y13" s="17" t="n"/>
      <c r="Z13" s="17" t="inlineStr">
        <is>
          <t>#fairhealth</t>
        </is>
      </c>
      <c r="AA13" s="17" t="n"/>
      <c r="AB13" s="17" t="inlineStr">
        <is>
          <t>Editorial</t>
        </is>
      </c>
      <c r="AC13" s="17" t="inlineStr">
        <is>
          <t>D (pilar da semana) ou arte</t>
        </is>
      </c>
      <c r="AD13" s="17" t="inlineStr"/>
      <c r="AE13" s="17" t="n"/>
      <c r="AF13" s="17" t="inlineStr">
        <is>
          <t>Sim</t>
        </is>
      </c>
      <c r="AG13" s="17" t="inlineStr">
        <is>
          <t>Dr. Ronald / Dra. Floriana</t>
        </is>
      </c>
      <c r="AH13" s="18">
        <f>IF(AF13="Sim",WORKDAY(D13,-Config!$B$6),"")</f>
        <v/>
      </c>
      <c r="AI13" s="17" t="n"/>
      <c r="AJ13" s="18">
        <f>WORKDAY(D13,-Config!$B$5)</f>
        <v/>
      </c>
      <c r="AK13" s="17" t="n"/>
      <c r="AL13" s="17" t="n"/>
      <c r="AM13" s="17" t="n"/>
      <c r="AN13" s="17" t="inlineStr">
        <is>
          <t>Cross-post do Instagram</t>
        </is>
      </c>
      <c r="AO13" s="17" t="n"/>
      <c r="AP13" s="17" t="n"/>
      <c r="AQ13" s="17" t="n"/>
    </row>
    <row r="14" ht="42" customHeight="1">
      <c r="A14" s="16" t="inlineStr">
        <is>
          <t>FH012</t>
        </is>
      </c>
      <c r="B14" s="16" t="n">
        <v>3</v>
      </c>
      <c r="C14" s="17" t="inlineStr">
        <is>
          <t>Terça</t>
        </is>
      </c>
      <c r="D14" s="18">
        <f>Config!$B$3+(B14-1)*7+INDEX(Listas!$M$3:$M$7,MATCH(C14,Listas!$L$3:$L$7,0))-1</f>
        <v/>
      </c>
      <c r="E14" s="19">
        <f>Config!$B$4</f>
        <v/>
      </c>
      <c r="F14" s="16">
        <f>D14-Config!$B$3+1</f>
        <v/>
      </c>
      <c r="G14" s="17">
        <f>IF(F14&lt;=30,Config!$B$16,IF(F14&lt;=60,Config!$B$17,Config!$B$18))</f>
        <v/>
      </c>
      <c r="H14" s="17" t="inlineStr">
        <is>
          <t>Ideia</t>
        </is>
      </c>
      <c r="I14" s="17" t="inlineStr">
        <is>
          <t>Como cuidamos</t>
        </is>
      </c>
      <c r="J14" s="17" t="inlineStr">
        <is>
          <t>1 Minuto de Cuidado</t>
        </is>
      </c>
      <c r="K14" s="17" t="inlineStr">
        <is>
          <t>Viver melhor</t>
        </is>
      </c>
      <c r="L14" s="17" t="inlineStr">
        <is>
          <t>Medicina do Estilo de Vida em 1 minuto</t>
        </is>
      </c>
      <c r="M14" s="17" t="inlineStr">
        <is>
          <t>Descoberta</t>
        </is>
      </c>
      <c r="N14" s="17" t="inlineStr">
        <is>
          <t>Colaborador</t>
        </is>
      </c>
      <c r="O14" s="17" t="inlineStr">
        <is>
          <t>Alcance em não seguidores; retenção</t>
        </is>
      </c>
      <c r="P14" s="17" t="inlineStr">
        <is>
          <t>Reel</t>
        </is>
      </c>
      <c r="Q14" s="17">
        <f>IFERROR(INDEX(Especificações!$G$2:$G$20,MATCH(P14,Especificações!$A$2:$A$20,0)),"")</f>
        <v/>
      </c>
      <c r="R14" s="17" t="inlineStr">
        <is>
          <t>30–45 s</t>
        </is>
      </c>
      <c r="S14" s="17" t="n"/>
      <c r="T14" s="17" t="n"/>
      <c r="U14" s="17" t="n"/>
      <c r="V14" s="17" t="n"/>
      <c r="W14" s="16">
        <f>LEN(V14)</f>
        <v/>
      </c>
      <c r="X14" s="17" t="n"/>
      <c r="Y14" s="17" t="n"/>
      <c r="Z14" s="17" t="inlineStr">
        <is>
          <t>#fairhealth</t>
        </is>
      </c>
      <c r="AA14" s="17" t="n"/>
      <c r="AB14" s="17" t="inlineStr">
        <is>
          <t>Vídeo com profissional</t>
        </is>
      </c>
      <c r="AC14" s="17" t="inlineStr">
        <is>
          <t>gravação da diária mensal</t>
        </is>
      </c>
      <c r="AD14" s="17" t="inlineStr"/>
      <c r="AE14" s="17" t="n"/>
      <c r="AF14" s="17" t="inlineStr">
        <is>
          <t>Sim</t>
        </is>
      </c>
      <c r="AG14" s="17" t="inlineStr">
        <is>
          <t>Dr. Ronald / Dra. Floriana</t>
        </is>
      </c>
      <c r="AH14" s="18">
        <f>IF(AF14="Sim",WORKDAY(D14,-Config!$B$6),"")</f>
        <v/>
      </c>
      <c r="AI14" s="17" t="n"/>
      <c r="AJ14" s="18">
        <f>WORKDAY(D14,-Config!$B$5)</f>
        <v/>
      </c>
      <c r="AK14" s="17" t="n"/>
      <c r="AL14" s="17" t="n"/>
      <c r="AM14" s="17" t="n"/>
      <c r="AN14" s="17" t="inlineStr">
        <is>
          <t>Cross-post do Instagram</t>
        </is>
      </c>
      <c r="AO14" s="17" t="n"/>
      <c r="AP14" s="17" t="n"/>
      <c r="AQ14" s="17" t="n"/>
    </row>
    <row r="15" ht="42" customHeight="1">
      <c r="A15" s="16" t="inlineStr">
        <is>
          <t>FH013</t>
        </is>
      </c>
      <c r="B15" s="16" t="n">
        <v>3</v>
      </c>
      <c r="C15" s="17" t="inlineStr">
        <is>
          <t>Quarta</t>
        </is>
      </c>
      <c r="D15" s="18">
        <f>Config!$B$3+(B15-1)*7+INDEX(Listas!$M$3:$M$7,MATCH(C15,Listas!$L$3:$L$7,0))-1</f>
        <v/>
      </c>
      <c r="E15" s="19">
        <f>Config!$B$4</f>
        <v/>
      </c>
      <c r="F15" s="16">
        <f>D15-Config!$B$3+1</f>
        <v/>
      </c>
      <c r="G15" s="17">
        <f>IF(F15&lt;=30,Config!$B$16,IF(F15&lt;=60,Config!$B$17,Config!$B$18))</f>
        <v/>
      </c>
      <c r="H15" s="17" t="inlineStr">
        <is>
          <t>Ideia</t>
        </is>
      </c>
      <c r="I15" s="17" t="inlineStr">
        <is>
          <t>Como cuidamos</t>
        </is>
      </c>
      <c r="J15" s="17" t="inlineStr">
        <is>
          <t>Cuidado em números</t>
        </is>
      </c>
      <c r="K15" s="17" t="inlineStr">
        <is>
          <t>É assim que a FAIR HEALTH cuida</t>
        </is>
      </c>
      <c r="L15" s="17" t="inlineStr">
        <is>
          <t>Escritório do Cuidado: o que é e como funciona</t>
        </is>
      </c>
      <c r="M15" s="17" t="inlineStr">
        <is>
          <t>Interesse</t>
        </is>
      </c>
      <c r="N15" s="17" t="inlineStr">
        <is>
          <t>RH e liderança</t>
        </is>
      </c>
      <c r="O15" s="17" t="inlineStr">
        <is>
          <t>Salvamentos + envios por alcance</t>
        </is>
      </c>
      <c r="P15" s="17" t="inlineStr">
        <is>
          <t>Carrossel</t>
        </is>
      </c>
      <c r="Q15" s="17">
        <f>IFERROR(INDEX(Especificações!$G$2:$G$20,MATCH(P15,Especificações!$A$2:$A$20,0)),"")</f>
        <v/>
      </c>
      <c r="R15" s="17" t="inlineStr">
        <is>
          <t>8 slides</t>
        </is>
      </c>
      <c r="S15" s="17" t="n"/>
      <c r="T15" s="17" t="n"/>
      <c r="U15" s="17" t="n"/>
      <c r="V15" s="17" t="n"/>
      <c r="W15" s="16">
        <f>LEN(V15)</f>
        <v/>
      </c>
      <c r="X15" s="17" t="n"/>
      <c r="Y15" s="17" t="n"/>
      <c r="Z15" s="17" t="inlineStr">
        <is>
          <t>#fairhealth</t>
        </is>
      </c>
      <c r="AA15" s="17" t="n"/>
      <c r="AB15" s="17" t="inlineStr">
        <is>
          <t>Institucional</t>
        </is>
      </c>
      <c r="AC15" s="17" t="inlineStr">
        <is>
          <t>arte + C1/B</t>
        </is>
      </c>
      <c r="AD15" s="17" t="inlineStr"/>
      <c r="AE15" s="17" t="n"/>
      <c r="AF15" s="17" t="inlineStr">
        <is>
          <t>Não</t>
        </is>
      </c>
      <c r="AG15" s="17" t="inlineStr"/>
      <c r="AH15" s="18">
        <f>IF(AF15="Sim",WORKDAY(D15,-Config!$B$6),"")</f>
        <v/>
      </c>
      <c r="AI15" s="17" t="n"/>
      <c r="AJ15" s="18">
        <f>WORKDAY(D15,-Config!$B$5)</f>
        <v/>
      </c>
      <c r="AK15" s="17" t="n"/>
      <c r="AL15" s="17" t="n"/>
      <c r="AM15" s="17" t="n"/>
      <c r="AN15" s="17" t="inlineStr">
        <is>
          <t>Cross-post do Instagram</t>
        </is>
      </c>
      <c r="AO15" s="17" t="n"/>
      <c r="AP15" s="17" t="n"/>
      <c r="AQ15" s="17" t="n"/>
    </row>
    <row r="16" ht="42" customHeight="1">
      <c r="A16" s="16" t="inlineStr">
        <is>
          <t>FH014</t>
        </is>
      </c>
      <c r="B16" s="16" t="n">
        <v>3</v>
      </c>
      <c r="C16" s="17" t="inlineStr">
        <is>
          <t>Quinta</t>
        </is>
      </c>
      <c r="D16" s="18">
        <f>Config!$B$3+(B16-1)*7+INDEX(Listas!$M$3:$M$7,MATCH(C16,Listas!$L$3:$L$7,0))-1</f>
        <v/>
      </c>
      <c r="E16" s="19">
        <f>Config!$B$4</f>
        <v/>
      </c>
      <c r="F16" s="16">
        <f>D16-Config!$B$3+1</f>
        <v/>
      </c>
      <c r="G16" s="17">
        <f>IF(F16&lt;=30,Config!$B$16,IF(F16&lt;=60,Config!$B$17,Config!$B$18))</f>
        <v/>
      </c>
      <c r="H16" s="17" t="inlineStr">
        <is>
          <t>Ideia</t>
        </is>
      </c>
      <c r="I16" s="17" t="inlineStr">
        <is>
          <t>Como cuidamos</t>
        </is>
      </c>
      <c r="J16" s="17" t="inlineStr">
        <is>
          <t>Por dentro da FAIR HEALTH</t>
        </is>
      </c>
      <c r="K16" s="17" t="inlineStr">
        <is>
          <t>É assim que a FAIR HEALTH cuida</t>
        </is>
      </c>
      <c r="L16" s="17" t="inlineStr">
        <is>
          <t>Uma consulta por dentro: da anamnese ao plano de cuidado</t>
        </is>
      </c>
      <c r="M16" s="17" t="inlineStr">
        <is>
          <t>Confiança</t>
        </is>
      </c>
      <c r="N16" s="17" t="inlineStr">
        <is>
          <t>Colaborador + RH</t>
        </is>
      </c>
      <c r="O16" s="17" t="inlineStr">
        <is>
          <t>Visitas ao perfil; comentários</t>
        </is>
      </c>
      <c r="P16" s="17" t="inlineStr">
        <is>
          <t>Reel</t>
        </is>
      </c>
      <c r="Q16" s="17">
        <f>IFERROR(INDEX(Especificações!$G$2:$G$20,MATCH(P16,Especificações!$A$2:$A$20,0)),"")</f>
        <v/>
      </c>
      <c r="R16" s="17" t="inlineStr">
        <is>
          <t>30–45 s</t>
        </is>
      </c>
      <c r="S16" s="17" t="n"/>
      <c r="T16" s="17" t="n"/>
      <c r="U16" s="17" t="n"/>
      <c r="V16" s="17" t="n"/>
      <c r="W16" s="16">
        <f>LEN(V16)</f>
        <v/>
      </c>
      <c r="X16" s="17" t="n"/>
      <c r="Y16" s="17" t="n"/>
      <c r="Z16" s="17" t="inlineStr">
        <is>
          <t>#fairhealth</t>
        </is>
      </c>
      <c r="AA16" s="17" t="n"/>
      <c r="AB16" s="17" t="inlineStr">
        <is>
          <t>Vídeo com profissional</t>
        </is>
      </c>
      <c r="AC16" s="17" t="inlineStr">
        <is>
          <t>gravação da diária mensal</t>
        </is>
      </c>
      <c r="AD16" s="17" t="inlineStr"/>
      <c r="AE16" s="17" t="n"/>
      <c r="AF16" s="17" t="inlineStr">
        <is>
          <t>Sim</t>
        </is>
      </c>
      <c r="AG16" s="17" t="inlineStr">
        <is>
          <t>Dr. Ronald / Dra. Floriana</t>
        </is>
      </c>
      <c r="AH16" s="18">
        <f>IF(AF16="Sim",WORKDAY(D16,-Config!$B$6),"")</f>
        <v/>
      </c>
      <c r="AI16" s="17" t="n"/>
      <c r="AJ16" s="18">
        <f>WORKDAY(D16,-Config!$B$5)</f>
        <v/>
      </c>
      <c r="AK16" s="17" t="n"/>
      <c r="AL16" s="17" t="n"/>
      <c r="AM16" s="17" t="n"/>
      <c r="AN16" s="17" t="inlineStr">
        <is>
          <t>Cross-post do Instagram</t>
        </is>
      </c>
      <c r="AO16" s="17" t="n"/>
      <c r="AP16" s="17" t="n"/>
      <c r="AQ16" s="17" t="n"/>
    </row>
    <row r="17" ht="42" customHeight="1">
      <c r="A17" s="16" t="inlineStr">
        <is>
          <t>FH015</t>
        </is>
      </c>
      <c r="B17" s="16" t="n">
        <v>3</v>
      </c>
      <c r="C17" s="17" t="inlineStr">
        <is>
          <t>Sexta</t>
        </is>
      </c>
      <c r="D17" s="18">
        <f>Config!$B$3+(B17-1)*7+INDEX(Listas!$M$3:$M$7,MATCH(C17,Listas!$L$3:$L$7,0))-1</f>
        <v/>
      </c>
      <c r="E17" s="19">
        <f>Config!$B$4</f>
        <v/>
      </c>
      <c r="F17" s="16">
        <f>D17-Config!$B$3+1</f>
        <v/>
      </c>
      <c r="G17" s="17">
        <f>IF(F17&lt;=30,Config!$B$16,IF(F17&lt;=60,Config!$B$17,Config!$B$18))</f>
        <v/>
      </c>
      <c r="H17" s="17" t="inlineStr">
        <is>
          <t>Ideia</t>
        </is>
      </c>
      <c r="I17" s="17" t="inlineStr">
        <is>
          <t>Como cuidamos</t>
        </is>
      </c>
      <c r="J17" s="17" t="inlineStr">
        <is>
          <t>Empresas que cuidam</t>
        </is>
      </c>
      <c r="K17" s="17" t="inlineStr">
        <is>
          <t>Saúde dentro das empresas</t>
        </is>
      </c>
      <c r="L17" s="17" t="inlineStr">
        <is>
          <t>O que o RH recebe: relatórios anonimizados e indicadores do grupo</t>
        </is>
      </c>
      <c r="M17" s="17" t="inlineStr">
        <is>
          <t>Interesse</t>
        </is>
      </c>
      <c r="N17" s="17" t="inlineStr">
        <is>
          <t>RH e liderança</t>
        </is>
      </c>
      <c r="O17" s="17" t="inlineStr">
        <is>
          <t>Salvamentos + envios por alcance</t>
        </is>
      </c>
      <c r="P17" s="17" t="inlineStr">
        <is>
          <t>Carrossel</t>
        </is>
      </c>
      <c r="Q17" s="17">
        <f>IFERROR(INDEX(Especificações!$G$2:$G$20,MATCH(P17,Especificações!$A$2:$A$20,0)),"")</f>
        <v/>
      </c>
      <c r="R17" s="17" t="inlineStr">
        <is>
          <t>8 slides</t>
        </is>
      </c>
      <c r="S17" s="17" t="n"/>
      <c r="T17" s="17" t="n"/>
      <c r="U17" s="17" t="n"/>
      <c r="V17" s="17" t="n"/>
      <c r="W17" s="16">
        <f>LEN(V17)</f>
        <v/>
      </c>
      <c r="X17" s="17" t="n"/>
      <c r="Y17" s="17" t="n"/>
      <c r="Z17" s="17" t="inlineStr">
        <is>
          <t>#fairhealth</t>
        </is>
      </c>
      <c r="AA17" s="17" t="n"/>
      <c r="AB17" s="17" t="inlineStr">
        <is>
          <t>Institucional</t>
        </is>
      </c>
      <c r="AC17" s="17" t="inlineStr">
        <is>
          <t>arte + C1/B</t>
        </is>
      </c>
      <c r="AD17" s="17" t="inlineStr"/>
      <c r="AE17" s="17" t="n"/>
      <c r="AF17" s="17" t="inlineStr">
        <is>
          <t>Não</t>
        </is>
      </c>
      <c r="AG17" s="17" t="inlineStr"/>
      <c r="AH17" s="18">
        <f>IF(AF17="Sim",WORKDAY(D17,-Config!$B$6),"")</f>
        <v/>
      </c>
      <c r="AI17" s="17" t="n"/>
      <c r="AJ17" s="18">
        <f>WORKDAY(D17,-Config!$B$5)</f>
        <v/>
      </c>
      <c r="AK17" s="17" t="n"/>
      <c r="AL17" s="17" t="n"/>
      <c r="AM17" s="17" t="n"/>
      <c r="AN17" s="17" t="inlineStr">
        <is>
          <t>Cross-post do Instagram</t>
        </is>
      </c>
      <c r="AO17" s="17" t="n"/>
      <c r="AP17" s="17" t="n"/>
      <c r="AQ17" s="17" t="n"/>
    </row>
    <row r="18" ht="42" customHeight="1">
      <c r="A18" s="20" t="inlineStr">
        <is>
          <t>FH016</t>
        </is>
      </c>
      <c r="B18" s="20" t="n">
        <v>4</v>
      </c>
      <c r="C18" s="21" t="inlineStr">
        <is>
          <t>Segunda</t>
        </is>
      </c>
      <c r="D18" s="22">
        <f>Config!$B$3+(B18-1)*7+INDEX(Listas!$M$3:$M$7,MATCH(C18,Listas!$L$3:$L$7,0))-1</f>
        <v/>
      </c>
      <c r="E18" s="23">
        <f>Config!$B$4</f>
        <v/>
      </c>
      <c r="F18" s="20">
        <f>D18-Config!$B$3+1</f>
        <v/>
      </c>
      <c r="G18" s="21">
        <f>IF(F18&lt;=30,Config!$B$16,IF(F18&lt;=60,Config!$B$17,Config!$B$18))</f>
        <v/>
      </c>
      <c r="H18" s="21" t="inlineStr">
        <is>
          <t>Ideia</t>
        </is>
      </c>
      <c r="I18" s="21" t="inlineStr">
        <is>
          <t>Alimentação e hidratação</t>
        </is>
      </c>
      <c r="J18" s="21" t="inlineStr">
        <is>
          <t>O que importa para você?</t>
        </is>
      </c>
      <c r="K18" s="21" t="inlineStr">
        <is>
          <t>O cuidado começa pela pessoa</t>
        </is>
      </c>
      <c r="L18" s="21" t="inlineStr">
        <is>
          <t>O que atrapalha sua alimentação no trabalho? (carrossel + enquete)</t>
        </is>
      </c>
      <c r="M18" s="21" t="inlineStr">
        <is>
          <t>Conversa</t>
        </is>
      </c>
      <c r="N18" s="21" t="inlineStr">
        <is>
          <t>Colaborador</t>
        </is>
      </c>
      <c r="O18" s="21" t="inlineStr">
        <is>
          <t>Respostas nos Stories; comentários; DMs</t>
        </is>
      </c>
      <c r="P18" s="21" t="inlineStr">
        <is>
          <t>Carrossel</t>
        </is>
      </c>
      <c r="Q18" s="21">
        <f>IFERROR(INDEX(Especificações!$G$2:$G$20,MATCH(P18,Especificações!$A$2:$A$20,0)),"")</f>
        <v/>
      </c>
      <c r="R18" s="21" t="inlineStr">
        <is>
          <t>8 slides</t>
        </is>
      </c>
      <c r="S18" s="21" t="n"/>
      <c r="T18" s="21" t="n"/>
      <c r="U18" s="21" t="n"/>
      <c r="V18" s="21" t="n"/>
      <c r="W18" s="20">
        <f>LEN(V18)</f>
        <v/>
      </c>
      <c r="X18" s="21" t="n"/>
      <c r="Y18" s="21" t="n"/>
      <c r="Z18" s="21" t="inlineStr">
        <is>
          <t>#fairhealth</t>
        </is>
      </c>
      <c r="AA18" s="21" t="n"/>
      <c r="AB18" s="21" t="inlineStr">
        <is>
          <t>Editorial</t>
        </is>
      </c>
      <c r="AC18" s="21" t="inlineStr">
        <is>
          <t>D (pilar da semana) ou arte</t>
        </is>
      </c>
      <c r="AD18" s="21" t="inlineStr"/>
      <c r="AE18" s="21" t="n"/>
      <c r="AF18" s="21" t="inlineStr">
        <is>
          <t>Não</t>
        </is>
      </c>
      <c r="AG18" s="21" t="inlineStr"/>
      <c r="AH18" s="22">
        <f>IF(AF18="Sim",WORKDAY(D18,-Config!$B$6),"")</f>
        <v/>
      </c>
      <c r="AI18" s="21" t="n"/>
      <c r="AJ18" s="22">
        <f>WORKDAY(D18,-Config!$B$5)</f>
        <v/>
      </c>
      <c r="AK18" s="21" t="n"/>
      <c r="AL18" s="21" t="n"/>
      <c r="AM18" s="21" t="n"/>
      <c r="AN18" s="21" t="inlineStr">
        <is>
          <t>Cross-post do Instagram</t>
        </is>
      </c>
      <c r="AO18" s="21" t="n"/>
      <c r="AP18" s="21" t="n"/>
      <c r="AQ18" s="21" t="n"/>
    </row>
    <row r="19" ht="42" customHeight="1">
      <c r="A19" s="20" t="inlineStr">
        <is>
          <t>FH017</t>
        </is>
      </c>
      <c r="B19" s="20" t="n">
        <v>4</v>
      </c>
      <c r="C19" s="21" t="inlineStr">
        <is>
          <t>Terça</t>
        </is>
      </c>
      <c r="D19" s="22">
        <f>Config!$B$3+(B19-1)*7+INDEX(Listas!$M$3:$M$7,MATCH(C19,Listas!$L$3:$L$7,0))-1</f>
        <v/>
      </c>
      <c r="E19" s="23">
        <f>Config!$B$4</f>
        <v/>
      </c>
      <c r="F19" s="20">
        <f>D19-Config!$B$3+1</f>
        <v/>
      </c>
      <c r="G19" s="21">
        <f>IF(F19&lt;=30,Config!$B$16,IF(F19&lt;=60,Config!$B$17,Config!$B$18))</f>
        <v/>
      </c>
      <c r="H19" s="21" t="inlineStr">
        <is>
          <t>Ideia</t>
        </is>
      </c>
      <c r="I19" s="21" t="inlineStr">
        <is>
          <t>Alimentação e hidratação</t>
        </is>
      </c>
      <c r="J19" s="21" t="inlineStr">
        <is>
          <t>1 Minuto de Cuidado</t>
        </is>
      </c>
      <c r="K19" s="21" t="inlineStr">
        <is>
          <t>Viver melhor</t>
        </is>
      </c>
      <c r="L19" s="21" t="inlineStr">
        <is>
          <t>Hidratação no expediente: um hábito simples</t>
        </is>
      </c>
      <c r="M19" s="21" t="inlineStr">
        <is>
          <t>Descoberta</t>
        </is>
      </c>
      <c r="N19" s="21" t="inlineStr">
        <is>
          <t>Colaborador</t>
        </is>
      </c>
      <c r="O19" s="21" t="inlineStr">
        <is>
          <t>Alcance em não seguidores; retenção</t>
        </is>
      </c>
      <c r="P19" s="21" t="inlineStr">
        <is>
          <t>Reel</t>
        </is>
      </c>
      <c r="Q19" s="21">
        <f>IFERROR(INDEX(Especificações!$G$2:$G$20,MATCH(P19,Especificações!$A$2:$A$20,0)),"")</f>
        <v/>
      </c>
      <c r="R19" s="21" t="inlineStr">
        <is>
          <t>30–45 s</t>
        </is>
      </c>
      <c r="S19" s="21" t="n"/>
      <c r="T19" s="21" t="n"/>
      <c r="U19" s="21" t="n"/>
      <c r="V19" s="21" t="n"/>
      <c r="W19" s="20">
        <f>LEN(V19)</f>
        <v/>
      </c>
      <c r="X19" s="21" t="n"/>
      <c r="Y19" s="21" t="n"/>
      <c r="Z19" s="21" t="inlineStr">
        <is>
          <t>#fairhealth</t>
        </is>
      </c>
      <c r="AA19" s="21" t="n"/>
      <c r="AB19" s="21" t="inlineStr">
        <is>
          <t>Vídeo com profissional</t>
        </is>
      </c>
      <c r="AC19" s="21" t="inlineStr">
        <is>
          <t>gravação da diária mensal</t>
        </is>
      </c>
      <c r="AD19" s="21" t="inlineStr"/>
      <c r="AE19" s="21" t="n"/>
      <c r="AF19" s="21" t="inlineStr">
        <is>
          <t>Sim</t>
        </is>
      </c>
      <c r="AG19" s="21" t="inlineStr">
        <is>
          <t>Dr. Ronald / Dra. Floriana</t>
        </is>
      </c>
      <c r="AH19" s="22">
        <f>IF(AF19="Sim",WORKDAY(D19,-Config!$B$6),"")</f>
        <v/>
      </c>
      <c r="AI19" s="21" t="n"/>
      <c r="AJ19" s="22">
        <f>WORKDAY(D19,-Config!$B$5)</f>
        <v/>
      </c>
      <c r="AK19" s="21" t="n"/>
      <c r="AL19" s="21" t="n"/>
      <c r="AM19" s="21" t="n"/>
      <c r="AN19" s="21" t="inlineStr">
        <is>
          <t>Cross-post do Instagram</t>
        </is>
      </c>
      <c r="AO19" s="21" t="n"/>
      <c r="AP19" s="21" t="n"/>
      <c r="AQ19" s="21" t="n"/>
    </row>
    <row r="20" ht="42" customHeight="1">
      <c r="A20" s="20" t="inlineStr">
        <is>
          <t>FH018</t>
        </is>
      </c>
      <c r="B20" s="20" t="n">
        <v>4</v>
      </c>
      <c r="C20" s="21" t="inlineStr">
        <is>
          <t>Quarta</t>
        </is>
      </c>
      <c r="D20" s="22">
        <f>Config!$B$3+(B20-1)*7+INDEX(Listas!$M$3:$M$7,MATCH(C20,Listas!$L$3:$L$7,0))-1</f>
        <v/>
      </c>
      <c r="E20" s="23">
        <f>Config!$B$4</f>
        <v/>
      </c>
      <c r="F20" s="20">
        <f>D20-Config!$B$3+1</f>
        <v/>
      </c>
      <c r="G20" s="21">
        <f>IF(F20&lt;=30,Config!$B$16,IF(F20&lt;=60,Config!$B$17,Config!$B$18))</f>
        <v/>
      </c>
      <c r="H20" s="21" t="inlineStr">
        <is>
          <t>Ideia</t>
        </is>
      </c>
      <c r="I20" s="21" t="inlineStr">
        <is>
          <t>Alimentação e hidratação</t>
        </is>
      </c>
      <c r="J20" s="21" t="inlineStr">
        <is>
          <t>7 pilares</t>
        </is>
      </c>
      <c r="K20" s="21" t="inlineStr">
        <is>
          <t>Viver melhor</t>
        </is>
      </c>
      <c r="L20" s="21" t="inlineStr">
        <is>
          <t>Pilar 1: Alimentação (escolhas sustentáveis)</t>
        </is>
      </c>
      <c r="M20" s="21" t="inlineStr">
        <is>
          <t>Interesse</t>
        </is>
      </c>
      <c r="N20" s="21" t="inlineStr">
        <is>
          <t>Colaborador</t>
        </is>
      </c>
      <c r="O20" s="21" t="inlineStr">
        <is>
          <t>Salvamentos + envios por alcance</t>
        </is>
      </c>
      <c r="P20" s="21" t="inlineStr">
        <is>
          <t>Carrossel</t>
        </is>
      </c>
      <c r="Q20" s="21">
        <f>IFERROR(INDEX(Especificações!$G$2:$G$20,MATCH(P20,Especificações!$A$2:$A$20,0)),"")</f>
        <v/>
      </c>
      <c r="R20" s="21" t="inlineStr">
        <is>
          <t>8 slides</t>
        </is>
      </c>
      <c r="S20" s="21" t="n"/>
      <c r="T20" s="21" t="n"/>
      <c r="U20" s="21" t="n"/>
      <c r="V20" s="21" t="n"/>
      <c r="W20" s="20">
        <f>LEN(V20)</f>
        <v/>
      </c>
      <c r="X20" s="21" t="n"/>
      <c r="Y20" s="21" t="n"/>
      <c r="Z20" s="21" t="inlineStr">
        <is>
          <t>#fairhealth</t>
        </is>
      </c>
      <c r="AA20" s="21" t="n"/>
      <c r="AB20" s="21" t="inlineStr">
        <is>
          <t>Pilares (duotone)</t>
        </is>
      </c>
      <c r="AC20" s="21" t="inlineStr">
        <is>
          <t>D (pilar da semana)</t>
        </is>
      </c>
      <c r="AD20" s="21" t="inlineStr"/>
      <c r="AE20" s="21" t="n"/>
      <c r="AF20" s="21" t="inlineStr">
        <is>
          <t>Sim</t>
        </is>
      </c>
      <c r="AG20" s="21" t="inlineStr">
        <is>
          <t>Dr. Ronald / Dra. Floriana</t>
        </is>
      </c>
      <c r="AH20" s="22">
        <f>IF(AF20="Sim",WORKDAY(D20,-Config!$B$6),"")</f>
        <v/>
      </c>
      <c r="AI20" s="21" t="n"/>
      <c r="AJ20" s="22">
        <f>WORKDAY(D20,-Config!$B$5)</f>
        <v/>
      </c>
      <c r="AK20" s="21" t="n"/>
      <c r="AL20" s="21" t="n"/>
      <c r="AM20" s="21" t="n"/>
      <c r="AN20" s="21" t="inlineStr">
        <is>
          <t>Cross-post do Instagram</t>
        </is>
      </c>
      <c r="AO20" s="21" t="n"/>
      <c r="AP20" s="21" t="n"/>
      <c r="AQ20" s="21" t="n"/>
    </row>
    <row r="21" ht="42" customHeight="1">
      <c r="A21" s="20" t="inlineStr">
        <is>
          <t>FH019</t>
        </is>
      </c>
      <c r="B21" s="20" t="n">
        <v>4</v>
      </c>
      <c r="C21" s="21" t="inlineStr">
        <is>
          <t>Quinta</t>
        </is>
      </c>
      <c r="D21" s="22">
        <f>Config!$B$3+(B21-1)*7+INDEX(Listas!$M$3:$M$7,MATCH(C21,Listas!$L$3:$L$7,0))-1</f>
        <v/>
      </c>
      <c r="E21" s="23">
        <f>Config!$B$4</f>
        <v/>
      </c>
      <c r="F21" s="20">
        <f>D21-Config!$B$3+1</f>
        <v/>
      </c>
      <c r="G21" s="21">
        <f>IF(F21&lt;=30,Config!$B$16,IF(F21&lt;=60,Config!$B$17,Config!$B$18))</f>
        <v/>
      </c>
      <c r="H21" s="21" t="inlineStr">
        <is>
          <t>Ideia</t>
        </is>
      </c>
      <c r="I21" s="21" t="inlineStr">
        <is>
          <t>Alimentação e hidratação</t>
        </is>
      </c>
      <c r="J21" s="21" t="inlineStr">
        <is>
          <t>Por dentro da FAIR HEALTH</t>
        </is>
      </c>
      <c r="K21" s="21" t="inlineStr">
        <is>
          <t>Viver melhor</t>
        </is>
      </c>
      <c r="L21" s="21" t="inlineStr">
        <is>
          <t>Como o ambiente da empresa influencia o que comemos</t>
        </is>
      </c>
      <c r="M21" s="21" t="inlineStr">
        <is>
          <t>Confiança</t>
        </is>
      </c>
      <c r="N21" s="21" t="inlineStr">
        <is>
          <t>Colaborador + RH</t>
        </is>
      </c>
      <c r="O21" s="21" t="inlineStr">
        <is>
          <t>Visitas ao perfil; comentários</t>
        </is>
      </c>
      <c r="P21" s="21" t="inlineStr">
        <is>
          <t>Reel</t>
        </is>
      </c>
      <c r="Q21" s="21">
        <f>IFERROR(INDEX(Especificações!$G$2:$G$20,MATCH(P21,Especificações!$A$2:$A$20,0)),"")</f>
        <v/>
      </c>
      <c r="R21" s="21" t="inlineStr">
        <is>
          <t>30–45 s</t>
        </is>
      </c>
      <c r="S21" s="21" t="n"/>
      <c r="T21" s="21" t="n"/>
      <c r="U21" s="21" t="n"/>
      <c r="V21" s="21" t="n"/>
      <c r="W21" s="20">
        <f>LEN(V21)</f>
        <v/>
      </c>
      <c r="X21" s="21" t="n"/>
      <c r="Y21" s="21" t="n"/>
      <c r="Z21" s="21" t="inlineStr">
        <is>
          <t>#fairhealth</t>
        </is>
      </c>
      <c r="AA21" s="21" t="n"/>
      <c r="AB21" s="21" t="inlineStr">
        <is>
          <t>Vídeo com profissional</t>
        </is>
      </c>
      <c r="AC21" s="21" t="inlineStr">
        <is>
          <t>gravação da diária mensal</t>
        </is>
      </c>
      <c r="AD21" s="21" t="inlineStr"/>
      <c r="AE21" s="21" t="n"/>
      <c r="AF21" s="21" t="inlineStr">
        <is>
          <t>Sim</t>
        </is>
      </c>
      <c r="AG21" s="21" t="inlineStr">
        <is>
          <t>Dr. Ronald / Dra. Floriana</t>
        </is>
      </c>
      <c r="AH21" s="22">
        <f>IF(AF21="Sim",WORKDAY(D21,-Config!$B$6),"")</f>
        <v/>
      </c>
      <c r="AI21" s="21" t="n"/>
      <c r="AJ21" s="22">
        <f>WORKDAY(D21,-Config!$B$5)</f>
        <v/>
      </c>
      <c r="AK21" s="21" t="n"/>
      <c r="AL21" s="21" t="n"/>
      <c r="AM21" s="21" t="n"/>
      <c r="AN21" s="21" t="inlineStr">
        <is>
          <t>Cross-post do Instagram</t>
        </is>
      </c>
      <c r="AO21" s="21" t="n"/>
      <c r="AP21" s="21" t="n"/>
      <c r="AQ21" s="21" t="n"/>
    </row>
    <row r="22" ht="42" customHeight="1">
      <c r="A22" s="20" t="inlineStr">
        <is>
          <t>FH020</t>
        </is>
      </c>
      <c r="B22" s="20" t="n">
        <v>4</v>
      </c>
      <c r="C22" s="21" t="inlineStr">
        <is>
          <t>Sexta</t>
        </is>
      </c>
      <c r="D22" s="22">
        <f>Config!$B$3+(B22-1)*7+INDEX(Listas!$M$3:$M$7,MATCH(C22,Listas!$L$3:$L$7,0))-1</f>
        <v/>
      </c>
      <c r="E22" s="23">
        <f>Config!$B$4</f>
        <v/>
      </c>
      <c r="F22" s="20">
        <f>D22-Config!$B$3+1</f>
        <v/>
      </c>
      <c r="G22" s="21">
        <f>IF(F22&lt;=30,Config!$B$16,IF(F22&lt;=60,Config!$B$17,Config!$B$18))</f>
        <v/>
      </c>
      <c r="H22" s="21" t="inlineStr">
        <is>
          <t>Ideia</t>
        </is>
      </c>
      <c r="I22" s="21" t="inlineStr">
        <is>
          <t>Alimentação e hidratação</t>
        </is>
      </c>
      <c r="J22" s="21" t="inlineStr">
        <is>
          <t>Empresas que cuidam</t>
        </is>
      </c>
      <c r="K22" s="21" t="inlineStr">
        <is>
          <t>Saúde dentro das empresas</t>
        </is>
      </c>
      <c r="L22" s="21" t="inlineStr">
        <is>
          <t>Ambiente alimentar na empresa: ajustes que o RH pode fazer</t>
        </is>
      </c>
      <c r="M22" s="21" t="inlineStr">
        <is>
          <t>Interesse</t>
        </is>
      </c>
      <c r="N22" s="21" t="inlineStr">
        <is>
          <t>RH e liderança</t>
        </is>
      </c>
      <c r="O22" s="21" t="inlineStr">
        <is>
          <t>Salvamentos + envios por alcance</t>
        </is>
      </c>
      <c r="P22" s="21" t="inlineStr">
        <is>
          <t>Carrossel</t>
        </is>
      </c>
      <c r="Q22" s="21">
        <f>IFERROR(INDEX(Especificações!$G$2:$G$20,MATCH(P22,Especificações!$A$2:$A$20,0)),"")</f>
        <v/>
      </c>
      <c r="R22" s="21" t="inlineStr">
        <is>
          <t>8 slides</t>
        </is>
      </c>
      <c r="S22" s="21" t="n"/>
      <c r="T22" s="21" t="n"/>
      <c r="U22" s="21" t="n"/>
      <c r="V22" s="21" t="n"/>
      <c r="W22" s="20">
        <f>LEN(V22)</f>
        <v/>
      </c>
      <c r="X22" s="21" t="n"/>
      <c r="Y22" s="21" t="n"/>
      <c r="Z22" s="21" t="inlineStr">
        <is>
          <t>#fairhealth</t>
        </is>
      </c>
      <c r="AA22" s="21" t="n"/>
      <c r="AB22" s="21" t="inlineStr">
        <is>
          <t>Institucional</t>
        </is>
      </c>
      <c r="AC22" s="21" t="inlineStr">
        <is>
          <t>arte + C1/B</t>
        </is>
      </c>
      <c r="AD22" s="21" t="inlineStr"/>
      <c r="AE22" s="21" t="n"/>
      <c r="AF22" s="21" t="inlineStr">
        <is>
          <t>Sim</t>
        </is>
      </c>
      <c r="AG22" s="21" t="inlineStr">
        <is>
          <t>Dr. Ronald / Dra. Floriana</t>
        </is>
      </c>
      <c r="AH22" s="22">
        <f>IF(AF22="Sim",WORKDAY(D22,-Config!$B$6),"")</f>
        <v/>
      </c>
      <c r="AI22" s="21" t="n"/>
      <c r="AJ22" s="22">
        <f>WORKDAY(D22,-Config!$B$5)</f>
        <v/>
      </c>
      <c r="AK22" s="21" t="n"/>
      <c r="AL22" s="21" t="n"/>
      <c r="AM22" s="21" t="n"/>
      <c r="AN22" s="21" t="inlineStr">
        <is>
          <t>Cross-post do Instagram</t>
        </is>
      </c>
      <c r="AO22" s="21" t="n"/>
      <c r="AP22" s="21" t="n"/>
      <c r="AQ22" s="21" t="n"/>
    </row>
    <row r="23" ht="42" customHeight="1">
      <c r="A23" s="16" t="inlineStr">
        <is>
          <t>FH021</t>
        </is>
      </c>
      <c r="B23" s="16" t="n">
        <v>5</v>
      </c>
      <c r="C23" s="17" t="inlineStr">
        <is>
          <t>Segunda</t>
        </is>
      </c>
      <c r="D23" s="18">
        <f>Config!$B$3+(B23-1)*7+INDEX(Listas!$M$3:$M$7,MATCH(C23,Listas!$L$3:$L$7,0))-1</f>
        <v/>
      </c>
      <c r="E23" s="19">
        <f>Config!$B$4</f>
        <v/>
      </c>
      <c r="F23" s="16">
        <f>D23-Config!$B$3+1</f>
        <v/>
      </c>
      <c r="G23" s="17">
        <f>IF(F23&lt;=30,Config!$B$16,IF(F23&lt;=60,Config!$B$17,Config!$B$18))</f>
        <v/>
      </c>
      <c r="H23" s="17" t="inlineStr">
        <is>
          <t>Ideia</t>
        </is>
      </c>
      <c r="I23" s="17" t="inlineStr">
        <is>
          <t>Movimento</t>
        </is>
      </c>
      <c r="J23" s="17" t="inlineStr">
        <is>
          <t>O que importa para você?</t>
        </is>
      </c>
      <c r="K23" s="17" t="inlineStr">
        <is>
          <t>O cuidado começa pela pessoa</t>
        </is>
      </c>
      <c r="L23" s="17" t="inlineStr">
        <is>
          <t>Movimento que cabe na rotina: o que funciona para você?</t>
        </is>
      </c>
      <c r="M23" s="17" t="inlineStr">
        <is>
          <t>Conversa</t>
        </is>
      </c>
      <c r="N23" s="17" t="inlineStr">
        <is>
          <t>Colaborador</t>
        </is>
      </c>
      <c r="O23" s="17" t="inlineStr">
        <is>
          <t>Respostas nos Stories; comentários; DMs</t>
        </is>
      </c>
      <c r="P23" s="17" t="inlineStr">
        <is>
          <t>Carrossel</t>
        </is>
      </c>
      <c r="Q23" s="17">
        <f>IFERROR(INDEX(Especificações!$G$2:$G$20,MATCH(P23,Especificações!$A$2:$A$20,0)),"")</f>
        <v/>
      </c>
      <c r="R23" s="17" t="inlineStr">
        <is>
          <t>8 slides</t>
        </is>
      </c>
      <c r="S23" s="17" t="n"/>
      <c r="T23" s="17" t="n"/>
      <c r="U23" s="17" t="n"/>
      <c r="V23" s="17" t="n"/>
      <c r="W23" s="16">
        <f>LEN(V23)</f>
        <v/>
      </c>
      <c r="X23" s="17" t="n"/>
      <c r="Y23" s="17" t="n"/>
      <c r="Z23" s="17" t="inlineStr">
        <is>
          <t>#fairhealth</t>
        </is>
      </c>
      <c r="AA23" s="17" t="n"/>
      <c r="AB23" s="17" t="inlineStr">
        <is>
          <t>Editorial</t>
        </is>
      </c>
      <c r="AC23" s="17" t="inlineStr">
        <is>
          <t>D (pilar da semana) ou arte</t>
        </is>
      </c>
      <c r="AD23" s="17" t="inlineStr"/>
      <c r="AE23" s="17" t="n"/>
      <c r="AF23" s="17" t="inlineStr">
        <is>
          <t>Não</t>
        </is>
      </c>
      <c r="AG23" s="17" t="inlineStr"/>
      <c r="AH23" s="18">
        <f>IF(AF23="Sim",WORKDAY(D23,-Config!$B$6),"")</f>
        <v/>
      </c>
      <c r="AI23" s="17" t="n"/>
      <c r="AJ23" s="18">
        <f>WORKDAY(D23,-Config!$B$5)</f>
        <v/>
      </c>
      <c r="AK23" s="17" t="n"/>
      <c r="AL23" s="17" t="n"/>
      <c r="AM23" s="17" t="n"/>
      <c r="AN23" s="17" t="inlineStr">
        <is>
          <t>Cross-post do Instagram</t>
        </is>
      </c>
      <c r="AO23" s="17" t="n"/>
      <c r="AP23" s="17" t="n"/>
      <c r="AQ23" s="17" t="n"/>
    </row>
    <row r="24" ht="42" customHeight="1">
      <c r="A24" s="16" t="inlineStr">
        <is>
          <t>FH022</t>
        </is>
      </c>
      <c r="B24" s="16" t="n">
        <v>5</v>
      </c>
      <c r="C24" s="17" t="inlineStr">
        <is>
          <t>Terça</t>
        </is>
      </c>
      <c r="D24" s="18">
        <f>Config!$B$3+(B24-1)*7+INDEX(Listas!$M$3:$M$7,MATCH(C24,Listas!$L$3:$L$7,0))-1</f>
        <v/>
      </c>
      <c r="E24" s="19">
        <f>Config!$B$4</f>
        <v/>
      </c>
      <c r="F24" s="16">
        <f>D24-Config!$B$3+1</f>
        <v/>
      </c>
      <c r="G24" s="17">
        <f>IF(F24&lt;=30,Config!$B$16,IF(F24&lt;=60,Config!$B$17,Config!$B$18))</f>
        <v/>
      </c>
      <c r="H24" s="17" t="inlineStr">
        <is>
          <t>Ideia</t>
        </is>
      </c>
      <c r="I24" s="17" t="inlineStr">
        <is>
          <t>Movimento</t>
        </is>
      </c>
      <c r="J24" s="17" t="inlineStr">
        <is>
          <t>1 Minuto de Cuidado</t>
        </is>
      </c>
      <c r="K24" s="17" t="inlineStr">
        <is>
          <t>Viver melhor</t>
        </is>
      </c>
      <c r="L24" s="17" t="inlineStr">
        <is>
          <t>Pausa ativa de 1 minuto na mesa de trabalho</t>
        </is>
      </c>
      <c r="M24" s="17" t="inlineStr">
        <is>
          <t>Descoberta</t>
        </is>
      </c>
      <c r="N24" s="17" t="inlineStr">
        <is>
          <t>Colaborador</t>
        </is>
      </c>
      <c r="O24" s="17" t="inlineStr">
        <is>
          <t>Alcance em não seguidores; retenção</t>
        </is>
      </c>
      <c r="P24" s="17" t="inlineStr">
        <is>
          <t>Reel</t>
        </is>
      </c>
      <c r="Q24" s="17">
        <f>IFERROR(INDEX(Especificações!$G$2:$G$20,MATCH(P24,Especificações!$A$2:$A$20,0)),"")</f>
        <v/>
      </c>
      <c r="R24" s="17" t="inlineStr">
        <is>
          <t>30–45 s</t>
        </is>
      </c>
      <c r="S24" s="17" t="n"/>
      <c r="T24" s="17" t="n"/>
      <c r="U24" s="17" t="n"/>
      <c r="V24" s="17" t="n"/>
      <c r="W24" s="16">
        <f>LEN(V24)</f>
        <v/>
      </c>
      <c r="X24" s="17" t="n"/>
      <c r="Y24" s="17" t="n"/>
      <c r="Z24" s="17" t="inlineStr">
        <is>
          <t>#fairhealth</t>
        </is>
      </c>
      <c r="AA24" s="17" t="n"/>
      <c r="AB24" s="17" t="inlineStr">
        <is>
          <t>Vídeo com profissional</t>
        </is>
      </c>
      <c r="AC24" s="17" t="inlineStr">
        <is>
          <t>gravação da diária mensal</t>
        </is>
      </c>
      <c r="AD24" s="17" t="inlineStr"/>
      <c r="AE24" s="17" t="n"/>
      <c r="AF24" s="17" t="inlineStr">
        <is>
          <t>Sim</t>
        </is>
      </c>
      <c r="AG24" s="17" t="inlineStr">
        <is>
          <t>Dr. Ronald / Dra. Floriana</t>
        </is>
      </c>
      <c r="AH24" s="18">
        <f>IF(AF24="Sim",WORKDAY(D24,-Config!$B$6),"")</f>
        <v/>
      </c>
      <c r="AI24" s="17" t="n"/>
      <c r="AJ24" s="18">
        <f>WORKDAY(D24,-Config!$B$5)</f>
        <v/>
      </c>
      <c r="AK24" s="17" t="n"/>
      <c r="AL24" s="17" t="n"/>
      <c r="AM24" s="17" t="n"/>
      <c r="AN24" s="17" t="inlineStr">
        <is>
          <t>Cross-post do Instagram</t>
        </is>
      </c>
      <c r="AO24" s="17" t="n"/>
      <c r="AP24" s="17" t="n"/>
      <c r="AQ24" s="17" t="n"/>
    </row>
    <row r="25" ht="42" customHeight="1">
      <c r="A25" s="16" t="inlineStr">
        <is>
          <t>FH023</t>
        </is>
      </c>
      <c r="B25" s="16" t="n">
        <v>5</v>
      </c>
      <c r="C25" s="17" t="inlineStr">
        <is>
          <t>Quarta</t>
        </is>
      </c>
      <c r="D25" s="18">
        <f>Config!$B$3+(B25-1)*7+INDEX(Listas!$M$3:$M$7,MATCH(C25,Listas!$L$3:$L$7,0))-1</f>
        <v/>
      </c>
      <c r="E25" s="19">
        <f>Config!$B$4</f>
        <v/>
      </c>
      <c r="F25" s="16">
        <f>D25-Config!$B$3+1</f>
        <v/>
      </c>
      <c r="G25" s="17">
        <f>IF(F25&lt;=30,Config!$B$16,IF(F25&lt;=60,Config!$B$17,Config!$B$18))</f>
        <v/>
      </c>
      <c r="H25" s="17" t="inlineStr">
        <is>
          <t>Ideia</t>
        </is>
      </c>
      <c r="I25" s="17" t="inlineStr">
        <is>
          <t>Movimento</t>
        </is>
      </c>
      <c r="J25" s="17" t="inlineStr">
        <is>
          <t>7 pilares</t>
        </is>
      </c>
      <c r="K25" s="17" t="inlineStr">
        <is>
          <t>Viver melhor</t>
        </is>
      </c>
      <c r="L25" s="17" t="inlineStr">
        <is>
          <t>Pilar 2: Atividade física</t>
        </is>
      </c>
      <c r="M25" s="17" t="inlineStr">
        <is>
          <t>Interesse</t>
        </is>
      </c>
      <c r="N25" s="17" t="inlineStr">
        <is>
          <t>Colaborador</t>
        </is>
      </c>
      <c r="O25" s="17" t="inlineStr">
        <is>
          <t>Salvamentos + envios por alcance</t>
        </is>
      </c>
      <c r="P25" s="17" t="inlineStr">
        <is>
          <t>Carrossel</t>
        </is>
      </c>
      <c r="Q25" s="17">
        <f>IFERROR(INDEX(Especificações!$G$2:$G$20,MATCH(P25,Especificações!$A$2:$A$20,0)),"")</f>
        <v/>
      </c>
      <c r="R25" s="17" t="inlineStr">
        <is>
          <t>8 slides</t>
        </is>
      </c>
      <c r="S25" s="17" t="n"/>
      <c r="T25" s="17" t="n"/>
      <c r="U25" s="17" t="n"/>
      <c r="V25" s="17" t="n"/>
      <c r="W25" s="16">
        <f>LEN(V25)</f>
        <v/>
      </c>
      <c r="X25" s="17" t="n"/>
      <c r="Y25" s="17" t="n"/>
      <c r="Z25" s="17" t="inlineStr">
        <is>
          <t>#fairhealth</t>
        </is>
      </c>
      <c r="AA25" s="17" t="n"/>
      <c r="AB25" s="17" t="inlineStr">
        <is>
          <t>Pilares (duotone)</t>
        </is>
      </c>
      <c r="AC25" s="17" t="inlineStr">
        <is>
          <t>D (pilar da semana)</t>
        </is>
      </c>
      <c r="AD25" s="17" t="inlineStr"/>
      <c r="AE25" s="17" t="n"/>
      <c r="AF25" s="17" t="inlineStr">
        <is>
          <t>Sim</t>
        </is>
      </c>
      <c r="AG25" s="17" t="inlineStr">
        <is>
          <t>Dr. Ronald / Dra. Floriana</t>
        </is>
      </c>
      <c r="AH25" s="18">
        <f>IF(AF25="Sim",WORKDAY(D25,-Config!$B$6),"")</f>
        <v/>
      </c>
      <c r="AI25" s="17" t="n"/>
      <c r="AJ25" s="18">
        <f>WORKDAY(D25,-Config!$B$5)</f>
        <v/>
      </c>
      <c r="AK25" s="17" t="n"/>
      <c r="AL25" s="17" t="n"/>
      <c r="AM25" s="17" t="n"/>
      <c r="AN25" s="17" t="inlineStr">
        <is>
          <t>Cross-post do Instagram</t>
        </is>
      </c>
      <c r="AO25" s="17" t="n"/>
      <c r="AP25" s="17" t="n"/>
      <c r="AQ25" s="17" t="n"/>
    </row>
    <row r="26" ht="42" customHeight="1">
      <c r="A26" s="16" t="inlineStr">
        <is>
          <t>FH024</t>
        </is>
      </c>
      <c r="B26" s="16" t="n">
        <v>5</v>
      </c>
      <c r="C26" s="17" t="inlineStr">
        <is>
          <t>Quinta</t>
        </is>
      </c>
      <c r="D26" s="18">
        <f>Config!$B$3+(B26-1)*7+INDEX(Listas!$M$3:$M$7,MATCH(C26,Listas!$L$3:$L$7,0))-1</f>
        <v/>
      </c>
      <c r="E26" s="19">
        <f>Config!$B$4</f>
        <v/>
      </c>
      <c r="F26" s="16">
        <f>D26-Config!$B$3+1</f>
        <v/>
      </c>
      <c r="G26" s="17">
        <f>IF(F26&lt;=30,Config!$B$16,IF(F26&lt;=60,Config!$B$17,Config!$B$18))</f>
        <v/>
      </c>
      <c r="H26" s="17" t="inlineStr">
        <is>
          <t>Ideia</t>
        </is>
      </c>
      <c r="I26" s="17" t="inlineStr">
        <is>
          <t>Movimento</t>
        </is>
      </c>
      <c r="J26" s="17" t="inlineStr">
        <is>
          <t>Por dentro da FAIR HEALTH</t>
        </is>
      </c>
      <c r="K26" s="17" t="inlineStr">
        <is>
          <t>É assim que a FAIR HEALTH cuida</t>
        </is>
      </c>
      <c r="L26" s="17" t="inlineStr">
        <is>
          <t>Bioimpedância: o que ela mostra e por que acompanhamos</t>
        </is>
      </c>
      <c r="M26" s="17" t="inlineStr">
        <is>
          <t>Confiança</t>
        </is>
      </c>
      <c r="N26" s="17" t="inlineStr">
        <is>
          <t>Colaborador + RH</t>
        </is>
      </c>
      <c r="O26" s="17" t="inlineStr">
        <is>
          <t>Visitas ao perfil; comentários</t>
        </is>
      </c>
      <c r="P26" s="17" t="inlineStr">
        <is>
          <t>Reel</t>
        </is>
      </c>
      <c r="Q26" s="17">
        <f>IFERROR(INDEX(Especificações!$G$2:$G$20,MATCH(P26,Especificações!$A$2:$A$20,0)),"")</f>
        <v/>
      </c>
      <c r="R26" s="17" t="inlineStr">
        <is>
          <t>30–45 s</t>
        </is>
      </c>
      <c r="S26" s="17" t="n"/>
      <c r="T26" s="17" t="n"/>
      <c r="U26" s="17" t="n"/>
      <c r="V26" s="17" t="n"/>
      <c r="W26" s="16">
        <f>LEN(V26)</f>
        <v/>
      </c>
      <c r="X26" s="17" t="n"/>
      <c r="Y26" s="17" t="n"/>
      <c r="Z26" s="17" t="inlineStr">
        <is>
          <t>#fairhealth</t>
        </is>
      </c>
      <c r="AA26" s="17" t="n"/>
      <c r="AB26" s="17" t="inlineStr">
        <is>
          <t>Vídeo com profissional</t>
        </is>
      </c>
      <c r="AC26" s="17" t="inlineStr">
        <is>
          <t>gravação da diária mensal</t>
        </is>
      </c>
      <c r="AD26" s="17" t="inlineStr"/>
      <c r="AE26" s="17" t="n"/>
      <c r="AF26" s="17" t="inlineStr">
        <is>
          <t>Sim</t>
        </is>
      </c>
      <c r="AG26" s="17" t="inlineStr">
        <is>
          <t>Dr. Ronald / Dra. Floriana</t>
        </is>
      </c>
      <c r="AH26" s="18">
        <f>IF(AF26="Sim",WORKDAY(D26,-Config!$B$6),"")</f>
        <v/>
      </c>
      <c r="AI26" s="17" t="n"/>
      <c r="AJ26" s="18">
        <f>WORKDAY(D26,-Config!$B$5)</f>
        <v/>
      </c>
      <c r="AK26" s="17" t="n"/>
      <c r="AL26" s="17" t="n"/>
      <c r="AM26" s="17" t="n"/>
      <c r="AN26" s="17" t="inlineStr">
        <is>
          <t>Cross-post do Instagram</t>
        </is>
      </c>
      <c r="AO26" s="17" t="n"/>
      <c r="AP26" s="17" t="n"/>
      <c r="AQ26" s="17" t="n"/>
    </row>
    <row r="27" ht="42" customHeight="1">
      <c r="A27" s="16" t="inlineStr">
        <is>
          <t>FH025</t>
        </is>
      </c>
      <c r="B27" s="16" t="n">
        <v>5</v>
      </c>
      <c r="C27" s="17" t="inlineStr">
        <is>
          <t>Sexta</t>
        </is>
      </c>
      <c r="D27" s="18">
        <f>Config!$B$3+(B27-1)*7+INDEX(Listas!$M$3:$M$7,MATCH(C27,Listas!$L$3:$L$7,0))-1</f>
        <v/>
      </c>
      <c r="E27" s="19">
        <f>Config!$B$4</f>
        <v/>
      </c>
      <c r="F27" s="16">
        <f>D27-Config!$B$3+1</f>
        <v/>
      </c>
      <c r="G27" s="17">
        <f>IF(F27&lt;=30,Config!$B$16,IF(F27&lt;=60,Config!$B$17,Config!$B$18))</f>
        <v/>
      </c>
      <c r="H27" s="17" t="inlineStr">
        <is>
          <t>Ideia</t>
        </is>
      </c>
      <c r="I27" s="17" t="inlineStr">
        <is>
          <t>Movimento</t>
        </is>
      </c>
      <c r="J27" s="17" t="inlineStr">
        <is>
          <t>Empresas que cuidam</t>
        </is>
      </c>
      <c r="K27" s="17" t="inlineStr">
        <is>
          <t>Saúde dentro das empresas</t>
        </is>
      </c>
      <c r="L27" s="17" t="inlineStr">
        <is>
          <t>Sedentarismo no trabalho: o que o RH pode estimular</t>
        </is>
      </c>
      <c r="M27" s="17" t="inlineStr">
        <is>
          <t>Interesse</t>
        </is>
      </c>
      <c r="N27" s="17" t="inlineStr">
        <is>
          <t>RH e liderança</t>
        </is>
      </c>
      <c r="O27" s="17" t="inlineStr">
        <is>
          <t>Salvamentos + envios por alcance</t>
        </is>
      </c>
      <c r="P27" s="17" t="inlineStr">
        <is>
          <t>Carrossel</t>
        </is>
      </c>
      <c r="Q27" s="17">
        <f>IFERROR(INDEX(Especificações!$G$2:$G$20,MATCH(P27,Especificações!$A$2:$A$20,0)),"")</f>
        <v/>
      </c>
      <c r="R27" s="17" t="inlineStr">
        <is>
          <t>8 slides</t>
        </is>
      </c>
      <c r="S27" s="17" t="n"/>
      <c r="T27" s="17" t="n"/>
      <c r="U27" s="17" t="n"/>
      <c r="V27" s="17" t="n"/>
      <c r="W27" s="16">
        <f>LEN(V27)</f>
        <v/>
      </c>
      <c r="X27" s="17" t="n"/>
      <c r="Y27" s="17" t="n"/>
      <c r="Z27" s="17" t="inlineStr">
        <is>
          <t>#fairhealth</t>
        </is>
      </c>
      <c r="AA27" s="17" t="n"/>
      <c r="AB27" s="17" t="inlineStr">
        <is>
          <t>Institucional</t>
        </is>
      </c>
      <c r="AC27" s="17" t="inlineStr">
        <is>
          <t>arte + C1/B</t>
        </is>
      </c>
      <c r="AD27" s="17" t="inlineStr"/>
      <c r="AE27" s="17" t="n"/>
      <c r="AF27" s="17" t="inlineStr">
        <is>
          <t>Sim</t>
        </is>
      </c>
      <c r="AG27" s="17" t="inlineStr">
        <is>
          <t>Dr. Ronald / Dra. Floriana</t>
        </is>
      </c>
      <c r="AH27" s="18">
        <f>IF(AF27="Sim",WORKDAY(D27,-Config!$B$6),"")</f>
        <v/>
      </c>
      <c r="AI27" s="17" t="n"/>
      <c r="AJ27" s="18">
        <f>WORKDAY(D27,-Config!$B$5)</f>
        <v/>
      </c>
      <c r="AK27" s="17" t="n"/>
      <c r="AL27" s="17" t="n"/>
      <c r="AM27" s="17" t="n"/>
      <c r="AN27" s="17" t="inlineStr">
        <is>
          <t>Cross-post do Instagram</t>
        </is>
      </c>
      <c r="AO27" s="17" t="n"/>
      <c r="AP27" s="17" t="n"/>
      <c r="AQ27" s="17" t="n"/>
    </row>
    <row r="28" ht="42" customHeight="1">
      <c r="A28" s="20" t="inlineStr">
        <is>
          <t>FH026</t>
        </is>
      </c>
      <c r="B28" s="20" t="n">
        <v>6</v>
      </c>
      <c r="C28" s="21" t="inlineStr">
        <is>
          <t>Segunda</t>
        </is>
      </c>
      <c r="D28" s="22">
        <f>Config!$B$3+(B28-1)*7+INDEX(Listas!$M$3:$M$7,MATCH(C28,Listas!$L$3:$L$7,0))-1</f>
        <v/>
      </c>
      <c r="E28" s="23">
        <f>Config!$B$4</f>
        <v/>
      </c>
      <c r="F28" s="20">
        <f>D28-Config!$B$3+1</f>
        <v/>
      </c>
      <c r="G28" s="21">
        <f>IF(F28&lt;=30,Config!$B$16,IF(F28&lt;=60,Config!$B$17,Config!$B$18))</f>
        <v/>
      </c>
      <c r="H28" s="21" t="inlineStr">
        <is>
          <t>Ideia</t>
        </is>
      </c>
      <c r="I28" s="21" t="inlineStr">
        <is>
          <t>Sono</t>
        </is>
      </c>
      <c r="J28" s="21" t="inlineStr">
        <is>
          <t>O que importa para você?</t>
        </is>
      </c>
      <c r="K28" s="21" t="inlineStr">
        <is>
          <t>O cuidado começa pela pessoa</t>
        </is>
      </c>
      <c r="L28" s="21" t="inlineStr">
        <is>
          <t>Como você dormiu esta semana? (enquete + carrossel)</t>
        </is>
      </c>
      <c r="M28" s="21" t="inlineStr">
        <is>
          <t>Conversa</t>
        </is>
      </c>
      <c r="N28" s="21" t="inlineStr">
        <is>
          <t>Colaborador</t>
        </is>
      </c>
      <c r="O28" s="21" t="inlineStr">
        <is>
          <t>Respostas nos Stories; comentários; DMs</t>
        </is>
      </c>
      <c r="P28" s="21" t="inlineStr">
        <is>
          <t>Carrossel</t>
        </is>
      </c>
      <c r="Q28" s="21">
        <f>IFERROR(INDEX(Especificações!$G$2:$G$20,MATCH(P28,Especificações!$A$2:$A$20,0)),"")</f>
        <v/>
      </c>
      <c r="R28" s="21" t="inlineStr">
        <is>
          <t>8 slides</t>
        </is>
      </c>
      <c r="S28" s="21" t="n"/>
      <c r="T28" s="21" t="n"/>
      <c r="U28" s="21" t="n"/>
      <c r="V28" s="21" t="n"/>
      <c r="W28" s="20">
        <f>LEN(V28)</f>
        <v/>
      </c>
      <c r="X28" s="21" t="n"/>
      <c r="Y28" s="21" t="n"/>
      <c r="Z28" s="21" t="inlineStr">
        <is>
          <t>#fairhealth</t>
        </is>
      </c>
      <c r="AA28" s="21" t="n"/>
      <c r="AB28" s="21" t="inlineStr">
        <is>
          <t>Editorial</t>
        </is>
      </c>
      <c r="AC28" s="21" t="inlineStr">
        <is>
          <t>D (pilar da semana) ou arte</t>
        </is>
      </c>
      <c r="AD28" s="21" t="inlineStr"/>
      <c r="AE28" s="21" t="n"/>
      <c r="AF28" s="21" t="inlineStr">
        <is>
          <t>Não</t>
        </is>
      </c>
      <c r="AG28" s="21" t="inlineStr"/>
      <c r="AH28" s="22">
        <f>IF(AF28="Sim",WORKDAY(D28,-Config!$B$6),"")</f>
        <v/>
      </c>
      <c r="AI28" s="21" t="n"/>
      <c r="AJ28" s="22">
        <f>WORKDAY(D28,-Config!$B$5)</f>
        <v/>
      </c>
      <c r="AK28" s="21" t="n"/>
      <c r="AL28" s="21" t="n"/>
      <c r="AM28" s="21" t="n"/>
      <c r="AN28" s="21" t="inlineStr">
        <is>
          <t>Cross-post do Instagram</t>
        </is>
      </c>
      <c r="AO28" s="21" t="n"/>
      <c r="AP28" s="21" t="n"/>
      <c r="AQ28" s="21" t="n"/>
    </row>
    <row r="29" ht="42" customHeight="1">
      <c r="A29" s="20" t="inlineStr">
        <is>
          <t>FH027</t>
        </is>
      </c>
      <c r="B29" s="20" t="n">
        <v>6</v>
      </c>
      <c r="C29" s="21" t="inlineStr">
        <is>
          <t>Terça</t>
        </is>
      </c>
      <c r="D29" s="22">
        <f>Config!$B$3+(B29-1)*7+INDEX(Listas!$M$3:$M$7,MATCH(C29,Listas!$L$3:$L$7,0))-1</f>
        <v/>
      </c>
      <c r="E29" s="23">
        <f>Config!$B$4</f>
        <v/>
      </c>
      <c r="F29" s="20">
        <f>D29-Config!$B$3+1</f>
        <v/>
      </c>
      <c r="G29" s="21">
        <f>IF(F29&lt;=30,Config!$B$16,IF(F29&lt;=60,Config!$B$17,Config!$B$18))</f>
        <v/>
      </c>
      <c r="H29" s="21" t="inlineStr">
        <is>
          <t>Ideia</t>
        </is>
      </c>
      <c r="I29" s="21" t="inlineStr">
        <is>
          <t>Sono</t>
        </is>
      </c>
      <c r="J29" s="21" t="inlineStr">
        <is>
          <t>1 Minuto de Cuidado</t>
        </is>
      </c>
      <c r="K29" s="21" t="inlineStr">
        <is>
          <t>Viver melhor</t>
        </is>
      </c>
      <c r="L29" s="21" t="inlineStr">
        <is>
          <t>Higiene do sono em 3 passos</t>
        </is>
      </c>
      <c r="M29" s="21" t="inlineStr">
        <is>
          <t>Descoberta</t>
        </is>
      </c>
      <c r="N29" s="21" t="inlineStr">
        <is>
          <t>Colaborador</t>
        </is>
      </c>
      <c r="O29" s="21" t="inlineStr">
        <is>
          <t>Alcance em não seguidores; retenção</t>
        </is>
      </c>
      <c r="P29" s="21" t="inlineStr">
        <is>
          <t>Reel</t>
        </is>
      </c>
      <c r="Q29" s="21">
        <f>IFERROR(INDEX(Especificações!$G$2:$G$20,MATCH(P29,Especificações!$A$2:$A$20,0)),"")</f>
        <v/>
      </c>
      <c r="R29" s="21" t="inlineStr">
        <is>
          <t>30–45 s</t>
        </is>
      </c>
      <c r="S29" s="21" t="n"/>
      <c r="T29" s="21" t="n"/>
      <c r="U29" s="21" t="n"/>
      <c r="V29" s="21" t="n"/>
      <c r="W29" s="20">
        <f>LEN(V29)</f>
        <v/>
      </c>
      <c r="X29" s="21" t="n"/>
      <c r="Y29" s="21" t="n"/>
      <c r="Z29" s="21" t="inlineStr">
        <is>
          <t>#fairhealth</t>
        </is>
      </c>
      <c r="AA29" s="21" t="n"/>
      <c r="AB29" s="21" t="inlineStr">
        <is>
          <t>Vídeo com profissional</t>
        </is>
      </c>
      <c r="AC29" s="21" t="inlineStr">
        <is>
          <t>gravação da diária mensal</t>
        </is>
      </c>
      <c r="AD29" s="21" t="inlineStr"/>
      <c r="AE29" s="21" t="n"/>
      <c r="AF29" s="21" t="inlineStr">
        <is>
          <t>Sim</t>
        </is>
      </c>
      <c r="AG29" s="21" t="inlineStr">
        <is>
          <t>Dr. Ronald / Dra. Floriana</t>
        </is>
      </c>
      <c r="AH29" s="22">
        <f>IF(AF29="Sim",WORKDAY(D29,-Config!$B$6),"")</f>
        <v/>
      </c>
      <c r="AI29" s="21" t="n"/>
      <c r="AJ29" s="22">
        <f>WORKDAY(D29,-Config!$B$5)</f>
        <v/>
      </c>
      <c r="AK29" s="21" t="n"/>
      <c r="AL29" s="21" t="n"/>
      <c r="AM29" s="21" t="n"/>
      <c r="AN29" s="21" t="inlineStr">
        <is>
          <t>Cross-post do Instagram</t>
        </is>
      </c>
      <c r="AO29" s="21" t="n"/>
      <c r="AP29" s="21" t="n"/>
      <c r="AQ29" s="21" t="n"/>
    </row>
    <row r="30" ht="42" customHeight="1">
      <c r="A30" s="20" t="inlineStr">
        <is>
          <t>FH028</t>
        </is>
      </c>
      <c r="B30" s="20" t="n">
        <v>6</v>
      </c>
      <c r="C30" s="21" t="inlineStr">
        <is>
          <t>Quarta</t>
        </is>
      </c>
      <c r="D30" s="22">
        <f>Config!$B$3+(B30-1)*7+INDEX(Listas!$M$3:$M$7,MATCH(C30,Listas!$L$3:$L$7,0))-1</f>
        <v/>
      </c>
      <c r="E30" s="23">
        <f>Config!$B$4</f>
        <v/>
      </c>
      <c r="F30" s="20">
        <f>D30-Config!$B$3+1</f>
        <v/>
      </c>
      <c r="G30" s="21">
        <f>IF(F30&lt;=30,Config!$B$16,IF(F30&lt;=60,Config!$B$17,Config!$B$18))</f>
        <v/>
      </c>
      <c r="H30" s="21" t="inlineStr">
        <is>
          <t>Ideia</t>
        </is>
      </c>
      <c r="I30" s="21" t="inlineStr">
        <is>
          <t>Sono</t>
        </is>
      </c>
      <c r="J30" s="21" t="inlineStr">
        <is>
          <t>7 pilares</t>
        </is>
      </c>
      <c r="K30" s="21" t="inlineStr">
        <is>
          <t>Viver melhor</t>
        </is>
      </c>
      <c r="L30" s="21" t="inlineStr">
        <is>
          <t>Pilar 3: Sono reparador</t>
        </is>
      </c>
      <c r="M30" s="21" t="inlineStr">
        <is>
          <t>Interesse</t>
        </is>
      </c>
      <c r="N30" s="21" t="inlineStr">
        <is>
          <t>Colaborador</t>
        </is>
      </c>
      <c r="O30" s="21" t="inlineStr">
        <is>
          <t>Salvamentos + envios por alcance</t>
        </is>
      </c>
      <c r="P30" s="21" t="inlineStr">
        <is>
          <t>Carrossel</t>
        </is>
      </c>
      <c r="Q30" s="21">
        <f>IFERROR(INDEX(Especificações!$G$2:$G$20,MATCH(P30,Especificações!$A$2:$A$20,0)),"")</f>
        <v/>
      </c>
      <c r="R30" s="21" t="inlineStr">
        <is>
          <t>8 slides</t>
        </is>
      </c>
      <c r="S30" s="21" t="n"/>
      <c r="T30" s="21" t="n"/>
      <c r="U30" s="21" t="n"/>
      <c r="V30" s="21" t="n"/>
      <c r="W30" s="20">
        <f>LEN(V30)</f>
        <v/>
      </c>
      <c r="X30" s="21" t="n"/>
      <c r="Y30" s="21" t="n"/>
      <c r="Z30" s="21" t="inlineStr">
        <is>
          <t>#fairhealth</t>
        </is>
      </c>
      <c r="AA30" s="21" t="n"/>
      <c r="AB30" s="21" t="inlineStr">
        <is>
          <t>Pilares (duotone)</t>
        </is>
      </c>
      <c r="AC30" s="21" t="inlineStr">
        <is>
          <t>D (pilar da semana)</t>
        </is>
      </c>
      <c r="AD30" s="21" t="inlineStr"/>
      <c r="AE30" s="21" t="n"/>
      <c r="AF30" s="21" t="inlineStr">
        <is>
          <t>Sim</t>
        </is>
      </c>
      <c r="AG30" s="21" t="inlineStr">
        <is>
          <t>Dr. Ronald / Dra. Floriana</t>
        </is>
      </c>
      <c r="AH30" s="22">
        <f>IF(AF30="Sim",WORKDAY(D30,-Config!$B$6),"")</f>
        <v/>
      </c>
      <c r="AI30" s="21" t="n"/>
      <c r="AJ30" s="22">
        <f>WORKDAY(D30,-Config!$B$5)</f>
        <v/>
      </c>
      <c r="AK30" s="21" t="n"/>
      <c r="AL30" s="21" t="n"/>
      <c r="AM30" s="21" t="n"/>
      <c r="AN30" s="21" t="inlineStr">
        <is>
          <t>Cross-post do Instagram</t>
        </is>
      </c>
      <c r="AO30" s="21" t="n"/>
      <c r="AP30" s="21" t="n"/>
      <c r="AQ30" s="21" t="n"/>
    </row>
    <row r="31" ht="42" customHeight="1">
      <c r="A31" s="20" t="inlineStr">
        <is>
          <t>FH029</t>
        </is>
      </c>
      <c r="B31" s="20" t="n">
        <v>6</v>
      </c>
      <c r="C31" s="21" t="inlineStr">
        <is>
          <t>Quinta</t>
        </is>
      </c>
      <c r="D31" s="22">
        <f>Config!$B$3+(B31-1)*7+INDEX(Listas!$M$3:$M$7,MATCH(C31,Listas!$L$3:$L$7,0))-1</f>
        <v/>
      </c>
      <c r="E31" s="23">
        <f>Config!$B$4</f>
        <v/>
      </c>
      <c r="F31" s="20">
        <f>D31-Config!$B$3+1</f>
        <v/>
      </c>
      <c r="G31" s="21">
        <f>IF(F31&lt;=30,Config!$B$16,IF(F31&lt;=60,Config!$B$17,Config!$B$18))</f>
        <v/>
      </c>
      <c r="H31" s="21" t="inlineStr">
        <is>
          <t>Ideia</t>
        </is>
      </c>
      <c r="I31" s="21" t="inlineStr">
        <is>
          <t>Sono</t>
        </is>
      </c>
      <c r="J31" s="21" t="inlineStr">
        <is>
          <t>Por dentro da FAIR HEALTH</t>
        </is>
      </c>
      <c r="K31" s="21" t="inlineStr">
        <is>
          <t>Viver melhor</t>
        </is>
      </c>
      <c r="L31" s="21" t="inlineStr">
        <is>
          <t>O que a smartband mostra sobre o sono (e o que fazemos com isso)</t>
        </is>
      </c>
      <c r="M31" s="21" t="inlineStr">
        <is>
          <t>Confiança</t>
        </is>
      </c>
      <c r="N31" s="21" t="inlineStr">
        <is>
          <t>Colaborador + RH</t>
        </is>
      </c>
      <c r="O31" s="21" t="inlineStr">
        <is>
          <t>Visitas ao perfil; comentários</t>
        </is>
      </c>
      <c r="P31" s="21" t="inlineStr">
        <is>
          <t>Reel</t>
        </is>
      </c>
      <c r="Q31" s="21">
        <f>IFERROR(INDEX(Especificações!$G$2:$G$20,MATCH(P31,Especificações!$A$2:$A$20,0)),"")</f>
        <v/>
      </c>
      <c r="R31" s="21" t="inlineStr">
        <is>
          <t>30–45 s</t>
        </is>
      </c>
      <c r="S31" s="21" t="n"/>
      <c r="T31" s="21" t="n"/>
      <c r="U31" s="21" t="n"/>
      <c r="V31" s="21" t="n"/>
      <c r="W31" s="20">
        <f>LEN(V31)</f>
        <v/>
      </c>
      <c r="X31" s="21" t="n"/>
      <c r="Y31" s="21" t="n"/>
      <c r="Z31" s="21" t="inlineStr">
        <is>
          <t>#fairhealth</t>
        </is>
      </c>
      <c r="AA31" s="21" t="n"/>
      <c r="AB31" s="21" t="inlineStr">
        <is>
          <t>Vídeo com profissional</t>
        </is>
      </c>
      <c r="AC31" s="21" t="inlineStr">
        <is>
          <t>gravação da diária mensal</t>
        </is>
      </c>
      <c r="AD31" s="21" t="inlineStr"/>
      <c r="AE31" s="21" t="n"/>
      <c r="AF31" s="21" t="inlineStr">
        <is>
          <t>Sim</t>
        </is>
      </c>
      <c r="AG31" s="21" t="inlineStr">
        <is>
          <t>Dr. Ronald / Dra. Floriana</t>
        </is>
      </c>
      <c r="AH31" s="22">
        <f>IF(AF31="Sim",WORKDAY(D31,-Config!$B$6),"")</f>
        <v/>
      </c>
      <c r="AI31" s="21" t="n"/>
      <c r="AJ31" s="22">
        <f>WORKDAY(D31,-Config!$B$5)</f>
        <v/>
      </c>
      <c r="AK31" s="21" t="n"/>
      <c r="AL31" s="21" t="n"/>
      <c r="AM31" s="21" t="n"/>
      <c r="AN31" s="21" t="inlineStr">
        <is>
          <t>Cross-post do Instagram</t>
        </is>
      </c>
      <c r="AO31" s="21" t="n"/>
      <c r="AP31" s="21" t="n"/>
      <c r="AQ31" s="21" t="n"/>
    </row>
    <row r="32" ht="42" customHeight="1">
      <c r="A32" s="20" t="inlineStr">
        <is>
          <t>FH030</t>
        </is>
      </c>
      <c r="B32" s="20" t="n">
        <v>6</v>
      </c>
      <c r="C32" s="21" t="inlineStr">
        <is>
          <t>Sexta</t>
        </is>
      </c>
      <c r="D32" s="22">
        <f>Config!$B$3+(B32-1)*7+INDEX(Listas!$M$3:$M$7,MATCH(C32,Listas!$L$3:$L$7,0))-1</f>
        <v/>
      </c>
      <c r="E32" s="23">
        <f>Config!$B$4</f>
        <v/>
      </c>
      <c r="F32" s="20">
        <f>D32-Config!$B$3+1</f>
        <v/>
      </c>
      <c r="G32" s="21">
        <f>IF(F32&lt;=30,Config!$B$16,IF(F32&lt;=60,Config!$B$17,Config!$B$18))</f>
        <v/>
      </c>
      <c r="H32" s="21" t="inlineStr">
        <is>
          <t>Ideia</t>
        </is>
      </c>
      <c r="I32" s="21" t="inlineStr">
        <is>
          <t>Sono</t>
        </is>
      </c>
      <c r="J32" s="21" t="inlineStr">
        <is>
          <t>Empresas que cuidam</t>
        </is>
      </c>
      <c r="K32" s="21" t="inlineStr">
        <is>
          <t>Saúde dentro das empresas</t>
        </is>
      </c>
      <c r="L32" s="21" t="inlineStr">
        <is>
          <t>Sono, produtividade e segurança: atenção aos turnos na indústria</t>
        </is>
      </c>
      <c r="M32" s="21" t="inlineStr">
        <is>
          <t>Interesse</t>
        </is>
      </c>
      <c r="N32" s="21" t="inlineStr">
        <is>
          <t>RH e liderança</t>
        </is>
      </c>
      <c r="O32" s="21" t="inlineStr">
        <is>
          <t>Salvamentos + envios por alcance</t>
        </is>
      </c>
      <c r="P32" s="21" t="inlineStr">
        <is>
          <t>Carrossel</t>
        </is>
      </c>
      <c r="Q32" s="21">
        <f>IFERROR(INDEX(Especificações!$G$2:$G$20,MATCH(P32,Especificações!$A$2:$A$20,0)),"")</f>
        <v/>
      </c>
      <c r="R32" s="21" t="inlineStr">
        <is>
          <t>8 slides</t>
        </is>
      </c>
      <c r="S32" s="21" t="n"/>
      <c r="T32" s="21" t="n"/>
      <c r="U32" s="21" t="n"/>
      <c r="V32" s="21" t="n"/>
      <c r="W32" s="20">
        <f>LEN(V32)</f>
        <v/>
      </c>
      <c r="X32" s="21" t="n"/>
      <c r="Y32" s="21" t="n"/>
      <c r="Z32" s="21" t="inlineStr">
        <is>
          <t>#fairhealth</t>
        </is>
      </c>
      <c r="AA32" s="21" t="n"/>
      <c r="AB32" s="21" t="inlineStr">
        <is>
          <t>Institucional</t>
        </is>
      </c>
      <c r="AC32" s="21" t="inlineStr">
        <is>
          <t>arte + C1/B</t>
        </is>
      </c>
      <c r="AD32" s="21" t="inlineStr"/>
      <c r="AE32" s="21" t="n"/>
      <c r="AF32" s="21" t="inlineStr">
        <is>
          <t>Sim</t>
        </is>
      </c>
      <c r="AG32" s="21" t="inlineStr">
        <is>
          <t>Dr. Ronald / Dra. Floriana</t>
        </is>
      </c>
      <c r="AH32" s="22">
        <f>IF(AF32="Sim",WORKDAY(D32,-Config!$B$6),"")</f>
        <v/>
      </c>
      <c r="AI32" s="21" t="n"/>
      <c r="AJ32" s="22">
        <f>WORKDAY(D32,-Config!$B$5)</f>
        <v/>
      </c>
      <c r="AK32" s="21" t="n"/>
      <c r="AL32" s="21" t="n"/>
      <c r="AM32" s="21" t="n"/>
      <c r="AN32" s="21" t="inlineStr">
        <is>
          <t>Cross-post do Instagram</t>
        </is>
      </c>
      <c r="AO32" s="21" t="n"/>
      <c r="AP32" s="21" t="n"/>
      <c r="AQ32" s="21" t="n"/>
    </row>
    <row r="33" ht="42" customHeight="1">
      <c r="A33" s="16" t="inlineStr">
        <is>
          <t>FH031</t>
        </is>
      </c>
      <c r="B33" s="16" t="n">
        <v>7</v>
      </c>
      <c r="C33" s="17" t="inlineStr">
        <is>
          <t>Segunda</t>
        </is>
      </c>
      <c r="D33" s="18">
        <f>Config!$B$3+(B33-1)*7+INDEX(Listas!$M$3:$M$7,MATCH(C33,Listas!$L$3:$L$7,0))-1</f>
        <v/>
      </c>
      <c r="E33" s="19">
        <f>Config!$B$4</f>
        <v/>
      </c>
      <c r="F33" s="16">
        <f>D33-Config!$B$3+1</f>
        <v/>
      </c>
      <c r="G33" s="17">
        <f>IF(F33&lt;=30,Config!$B$16,IF(F33&lt;=60,Config!$B$17,Config!$B$18))</f>
        <v/>
      </c>
      <c r="H33" s="17" t="inlineStr">
        <is>
          <t>Ideia</t>
        </is>
      </c>
      <c r="I33" s="17" t="inlineStr">
        <is>
          <t>Estresse e saúde mental</t>
        </is>
      </c>
      <c r="J33" s="17" t="inlineStr">
        <is>
          <t>O que importa para você?</t>
        </is>
      </c>
      <c r="K33" s="17" t="inlineStr">
        <is>
          <t>O cuidado começa pela pessoa</t>
        </is>
      </c>
      <c r="L33" s="17" t="inlineStr">
        <is>
          <t>O que mais pesa na sua semana? (caixa de perguntas)</t>
        </is>
      </c>
      <c r="M33" s="17" t="inlineStr">
        <is>
          <t>Conversa</t>
        </is>
      </c>
      <c r="N33" s="17" t="inlineStr">
        <is>
          <t>Colaborador</t>
        </is>
      </c>
      <c r="O33" s="17" t="inlineStr">
        <is>
          <t>Respostas nos Stories; comentários; DMs</t>
        </is>
      </c>
      <c r="P33" s="17" t="inlineStr">
        <is>
          <t>Carrossel</t>
        </is>
      </c>
      <c r="Q33" s="17">
        <f>IFERROR(INDEX(Especificações!$G$2:$G$20,MATCH(P33,Especificações!$A$2:$A$20,0)),"")</f>
        <v/>
      </c>
      <c r="R33" s="17" t="inlineStr">
        <is>
          <t>8 slides</t>
        </is>
      </c>
      <c r="S33" s="17" t="n"/>
      <c r="T33" s="17" t="n"/>
      <c r="U33" s="17" t="n"/>
      <c r="V33" s="17" t="n"/>
      <c r="W33" s="16">
        <f>LEN(V33)</f>
        <v/>
      </c>
      <c r="X33" s="17" t="n"/>
      <c r="Y33" s="17" t="n"/>
      <c r="Z33" s="17" t="inlineStr">
        <is>
          <t>#fairhealth</t>
        </is>
      </c>
      <c r="AA33" s="17" t="n"/>
      <c r="AB33" s="17" t="inlineStr">
        <is>
          <t>Editorial</t>
        </is>
      </c>
      <c r="AC33" s="17" t="inlineStr">
        <is>
          <t>D (pilar da semana) ou arte</t>
        </is>
      </c>
      <c r="AD33" s="17" t="inlineStr"/>
      <c r="AE33" s="17" t="n"/>
      <c r="AF33" s="17" t="inlineStr">
        <is>
          <t>Não</t>
        </is>
      </c>
      <c r="AG33" s="17" t="inlineStr"/>
      <c r="AH33" s="18">
        <f>IF(AF33="Sim",WORKDAY(D33,-Config!$B$6),"")</f>
        <v/>
      </c>
      <c r="AI33" s="17" t="n"/>
      <c r="AJ33" s="18">
        <f>WORKDAY(D33,-Config!$B$5)</f>
        <v/>
      </c>
      <c r="AK33" s="17" t="n"/>
      <c r="AL33" s="17" t="n"/>
      <c r="AM33" s="17" t="n"/>
      <c r="AN33" s="17" t="inlineStr">
        <is>
          <t>Cross-post do Instagram</t>
        </is>
      </c>
      <c r="AO33" s="17" t="n"/>
      <c r="AP33" s="17" t="n"/>
      <c r="AQ33" s="17" t="n"/>
    </row>
    <row r="34" ht="42" customHeight="1">
      <c r="A34" s="16" t="inlineStr">
        <is>
          <t>FH032</t>
        </is>
      </c>
      <c r="B34" s="16" t="n">
        <v>7</v>
      </c>
      <c r="C34" s="17" t="inlineStr">
        <is>
          <t>Terça</t>
        </is>
      </c>
      <c r="D34" s="18">
        <f>Config!$B$3+(B34-1)*7+INDEX(Listas!$M$3:$M$7,MATCH(C34,Listas!$L$3:$L$7,0))-1</f>
        <v/>
      </c>
      <c r="E34" s="19">
        <f>Config!$B$4</f>
        <v/>
      </c>
      <c r="F34" s="16">
        <f>D34-Config!$B$3+1</f>
        <v/>
      </c>
      <c r="G34" s="17">
        <f>IF(F34&lt;=30,Config!$B$16,IF(F34&lt;=60,Config!$B$17,Config!$B$18))</f>
        <v/>
      </c>
      <c r="H34" s="17" t="inlineStr">
        <is>
          <t>Ideia</t>
        </is>
      </c>
      <c r="I34" s="17" t="inlineStr">
        <is>
          <t>Estresse e saúde mental</t>
        </is>
      </c>
      <c r="J34" s="17" t="inlineStr">
        <is>
          <t>1 Minuto de Cuidado</t>
        </is>
      </c>
      <c r="K34" s="17" t="inlineStr">
        <is>
          <t>Viver melhor</t>
        </is>
      </c>
      <c r="L34" s="17" t="inlineStr">
        <is>
          <t>Respiração para momentos de tensão (com psicólogo)</t>
        </is>
      </c>
      <c r="M34" s="17" t="inlineStr">
        <is>
          <t>Descoberta</t>
        </is>
      </c>
      <c r="N34" s="17" t="inlineStr">
        <is>
          <t>Colaborador</t>
        </is>
      </c>
      <c r="O34" s="17" t="inlineStr">
        <is>
          <t>Alcance em não seguidores; retenção</t>
        </is>
      </c>
      <c r="P34" s="17" t="inlineStr">
        <is>
          <t>Reel</t>
        </is>
      </c>
      <c r="Q34" s="17">
        <f>IFERROR(INDEX(Especificações!$G$2:$G$20,MATCH(P34,Especificações!$A$2:$A$20,0)),"")</f>
        <v/>
      </c>
      <c r="R34" s="17" t="inlineStr">
        <is>
          <t>30–45 s</t>
        </is>
      </c>
      <c r="S34" s="17" t="n"/>
      <c r="T34" s="17" t="n"/>
      <c r="U34" s="17" t="n"/>
      <c r="V34" s="17" t="n"/>
      <c r="W34" s="16">
        <f>LEN(V34)</f>
        <v/>
      </c>
      <c r="X34" s="17" t="n"/>
      <c r="Y34" s="17" t="n"/>
      <c r="Z34" s="17" t="inlineStr">
        <is>
          <t>#fairhealth</t>
        </is>
      </c>
      <c r="AA34" s="17" t="n"/>
      <c r="AB34" s="17" t="inlineStr">
        <is>
          <t>Vídeo com profissional</t>
        </is>
      </c>
      <c r="AC34" s="17" t="inlineStr">
        <is>
          <t>gravação da diária mensal</t>
        </is>
      </c>
      <c r="AD34" s="17" t="inlineStr"/>
      <c r="AE34" s="17" t="n"/>
      <c r="AF34" s="17" t="inlineStr">
        <is>
          <t>Sim</t>
        </is>
      </c>
      <c r="AG34" s="17" t="inlineStr">
        <is>
          <t>Dr. Ronald / Dra. Floriana</t>
        </is>
      </c>
      <c r="AH34" s="18">
        <f>IF(AF34="Sim",WORKDAY(D34,-Config!$B$6),"")</f>
        <v/>
      </c>
      <c r="AI34" s="17" t="n"/>
      <c r="AJ34" s="18">
        <f>WORKDAY(D34,-Config!$B$5)</f>
        <v/>
      </c>
      <c r="AK34" s="17" t="n"/>
      <c r="AL34" s="17" t="n"/>
      <c r="AM34" s="17" t="n"/>
      <c r="AN34" s="17" t="inlineStr">
        <is>
          <t>Cross-post do Instagram</t>
        </is>
      </c>
      <c r="AO34" s="17" t="n"/>
      <c r="AP34" s="17" t="n"/>
      <c r="AQ34" s="17" t="n"/>
    </row>
    <row r="35" ht="42" customHeight="1">
      <c r="A35" s="16" t="inlineStr">
        <is>
          <t>FH033</t>
        </is>
      </c>
      <c r="B35" s="16" t="n">
        <v>7</v>
      </c>
      <c r="C35" s="17" t="inlineStr">
        <is>
          <t>Quarta</t>
        </is>
      </c>
      <c r="D35" s="18">
        <f>Config!$B$3+(B35-1)*7+INDEX(Listas!$M$3:$M$7,MATCH(C35,Listas!$L$3:$L$7,0))-1</f>
        <v/>
      </c>
      <c r="E35" s="19">
        <f>Config!$B$4</f>
        <v/>
      </c>
      <c r="F35" s="16">
        <f>D35-Config!$B$3+1</f>
        <v/>
      </c>
      <c r="G35" s="17">
        <f>IF(F35&lt;=30,Config!$B$16,IF(F35&lt;=60,Config!$B$17,Config!$B$18))</f>
        <v/>
      </c>
      <c r="H35" s="17" t="inlineStr">
        <is>
          <t>Ideia</t>
        </is>
      </c>
      <c r="I35" s="17" t="inlineStr">
        <is>
          <t>Estresse e saúde mental</t>
        </is>
      </c>
      <c r="J35" s="17" t="inlineStr">
        <is>
          <t>7 pilares</t>
        </is>
      </c>
      <c r="K35" s="17" t="inlineStr">
        <is>
          <t>Viver melhor</t>
        </is>
      </c>
      <c r="L35" s="17" t="inlineStr">
        <is>
          <t>Pilar 4: Saúde mental e estresse (com onde pedir ajuda: CVV 188)</t>
        </is>
      </c>
      <c r="M35" s="17" t="inlineStr">
        <is>
          <t>Interesse</t>
        </is>
      </c>
      <c r="N35" s="17" t="inlineStr">
        <is>
          <t>Colaborador</t>
        </is>
      </c>
      <c r="O35" s="17" t="inlineStr">
        <is>
          <t>Salvamentos + envios por alcance</t>
        </is>
      </c>
      <c r="P35" s="17" t="inlineStr">
        <is>
          <t>Carrossel</t>
        </is>
      </c>
      <c r="Q35" s="17">
        <f>IFERROR(INDEX(Especificações!$G$2:$G$20,MATCH(P35,Especificações!$A$2:$A$20,0)),"")</f>
        <v/>
      </c>
      <c r="R35" s="17" t="inlineStr">
        <is>
          <t>8 slides</t>
        </is>
      </c>
      <c r="S35" s="17" t="n"/>
      <c r="T35" s="17" t="n"/>
      <c r="U35" s="17" t="n"/>
      <c r="V35" s="17" t="n"/>
      <c r="W35" s="16">
        <f>LEN(V35)</f>
        <v/>
      </c>
      <c r="X35" s="17" t="n"/>
      <c r="Y35" s="17" t="n"/>
      <c r="Z35" s="17" t="inlineStr">
        <is>
          <t>#fairhealth</t>
        </is>
      </c>
      <c r="AA35" s="17" t="n"/>
      <c r="AB35" s="17" t="inlineStr">
        <is>
          <t>Pilares (duotone)</t>
        </is>
      </c>
      <c r="AC35" s="17" t="inlineStr">
        <is>
          <t>D (pilar da semana)</t>
        </is>
      </c>
      <c r="AD35" s="17" t="inlineStr"/>
      <c r="AE35" s="17" t="n"/>
      <c r="AF35" s="17" t="inlineStr">
        <is>
          <t>Sim</t>
        </is>
      </c>
      <c r="AG35" s="17" t="inlineStr">
        <is>
          <t>Dr. Ronald / Dra. Floriana</t>
        </is>
      </c>
      <c r="AH35" s="18">
        <f>IF(AF35="Sim",WORKDAY(D35,-Config!$B$6),"")</f>
        <v/>
      </c>
      <c r="AI35" s="17" t="n"/>
      <c r="AJ35" s="18">
        <f>WORKDAY(D35,-Config!$B$5)</f>
        <v/>
      </c>
      <c r="AK35" s="17" t="n"/>
      <c r="AL35" s="17" t="n"/>
      <c r="AM35" s="17" t="n"/>
      <c r="AN35" s="17" t="inlineStr">
        <is>
          <t>Cross-post do Instagram</t>
        </is>
      </c>
      <c r="AO35" s="17" t="n"/>
      <c r="AP35" s="17" t="n"/>
      <c r="AQ35" s="17" t="n"/>
    </row>
    <row r="36" ht="42" customHeight="1">
      <c r="A36" s="16" t="inlineStr">
        <is>
          <t>FH034</t>
        </is>
      </c>
      <c r="B36" s="16" t="n">
        <v>7</v>
      </c>
      <c r="C36" s="17" t="inlineStr">
        <is>
          <t>Quinta</t>
        </is>
      </c>
      <c r="D36" s="18">
        <f>Config!$B$3+(B36-1)*7+INDEX(Listas!$M$3:$M$7,MATCH(C36,Listas!$L$3:$L$7,0))-1</f>
        <v/>
      </c>
      <c r="E36" s="19">
        <f>Config!$B$4</f>
        <v/>
      </c>
      <c r="F36" s="16">
        <f>D36-Config!$B$3+1</f>
        <v/>
      </c>
      <c r="G36" s="17">
        <f>IF(F36&lt;=30,Config!$B$16,IF(F36&lt;=60,Config!$B$17,Config!$B$18))</f>
        <v/>
      </c>
      <c r="H36" s="17" t="inlineStr">
        <is>
          <t>Ideia</t>
        </is>
      </c>
      <c r="I36" s="17" t="inlineStr">
        <is>
          <t>Estresse e saúde mental</t>
        </is>
      </c>
      <c r="J36" s="17" t="inlineStr">
        <is>
          <t>Por dentro da FAIR HEALTH</t>
        </is>
      </c>
      <c r="K36" s="17" t="inlineStr">
        <is>
          <t>O cuidado começa pela pessoa</t>
        </is>
      </c>
      <c r="L36" s="17" t="inlineStr">
        <is>
          <t>Como funciona o atendimento psicológico (e a confidencialidade)</t>
        </is>
      </c>
      <c r="M36" s="17" t="inlineStr">
        <is>
          <t>Confiança</t>
        </is>
      </c>
      <c r="N36" s="17" t="inlineStr">
        <is>
          <t>Colaborador + RH</t>
        </is>
      </c>
      <c r="O36" s="17" t="inlineStr">
        <is>
          <t>Visitas ao perfil; comentários</t>
        </is>
      </c>
      <c r="P36" s="17" t="inlineStr">
        <is>
          <t>Reel</t>
        </is>
      </c>
      <c r="Q36" s="17">
        <f>IFERROR(INDEX(Especificações!$G$2:$G$20,MATCH(P36,Especificações!$A$2:$A$20,0)),"")</f>
        <v/>
      </c>
      <c r="R36" s="17" t="inlineStr">
        <is>
          <t>30–45 s</t>
        </is>
      </c>
      <c r="S36" s="17" t="n"/>
      <c r="T36" s="17" t="n"/>
      <c r="U36" s="17" t="n"/>
      <c r="V36" s="17" t="n"/>
      <c r="W36" s="16">
        <f>LEN(V36)</f>
        <v/>
      </c>
      <c r="X36" s="17" t="n"/>
      <c r="Y36" s="17" t="n"/>
      <c r="Z36" s="17" t="inlineStr">
        <is>
          <t>#fairhealth</t>
        </is>
      </c>
      <c r="AA36" s="17" t="n"/>
      <c r="AB36" s="17" t="inlineStr">
        <is>
          <t>Vídeo com profissional</t>
        </is>
      </c>
      <c r="AC36" s="17" t="inlineStr">
        <is>
          <t>gravação da diária mensal</t>
        </is>
      </c>
      <c r="AD36" s="17" t="inlineStr"/>
      <c r="AE36" s="17" t="n"/>
      <c r="AF36" s="17" t="inlineStr">
        <is>
          <t>Sim</t>
        </is>
      </c>
      <c r="AG36" s="17" t="inlineStr">
        <is>
          <t>Dr. Ronald / Dra. Floriana</t>
        </is>
      </c>
      <c r="AH36" s="18">
        <f>IF(AF36="Sim",WORKDAY(D36,-Config!$B$6),"")</f>
        <v/>
      </c>
      <c r="AI36" s="17" t="n"/>
      <c r="AJ36" s="18">
        <f>WORKDAY(D36,-Config!$B$5)</f>
        <v/>
      </c>
      <c r="AK36" s="17" t="n"/>
      <c r="AL36" s="17" t="n"/>
      <c r="AM36" s="17" t="n"/>
      <c r="AN36" s="17" t="inlineStr">
        <is>
          <t>Cross-post do Instagram</t>
        </is>
      </c>
      <c r="AO36" s="17" t="n"/>
      <c r="AP36" s="17" t="n"/>
      <c r="AQ36" s="17" t="n"/>
    </row>
    <row r="37" ht="42" customHeight="1">
      <c r="A37" s="16" t="inlineStr">
        <is>
          <t>FH035</t>
        </is>
      </c>
      <c r="B37" s="16" t="n">
        <v>7</v>
      </c>
      <c r="C37" s="17" t="inlineStr">
        <is>
          <t>Sexta</t>
        </is>
      </c>
      <c r="D37" s="18">
        <f>Config!$B$3+(B37-1)*7+INDEX(Listas!$M$3:$M$7,MATCH(C37,Listas!$L$3:$L$7,0))-1</f>
        <v/>
      </c>
      <c r="E37" s="19">
        <f>Config!$B$4</f>
        <v/>
      </c>
      <c r="F37" s="16">
        <f>D37-Config!$B$3+1</f>
        <v/>
      </c>
      <c r="G37" s="17">
        <f>IF(F37&lt;=30,Config!$B$16,IF(F37&lt;=60,Config!$B$17,Config!$B$18))</f>
        <v/>
      </c>
      <c r="H37" s="17" t="inlineStr">
        <is>
          <t>Ideia</t>
        </is>
      </c>
      <c r="I37" s="17" t="inlineStr">
        <is>
          <t>Estresse e saúde mental</t>
        </is>
      </c>
      <c r="J37" s="17" t="inlineStr">
        <is>
          <t>Empresas que cuidam</t>
        </is>
      </c>
      <c r="K37" s="17" t="inlineStr">
        <is>
          <t>Saúde dentro das empresas</t>
        </is>
      </c>
      <c r="L37" s="17" t="inlineStr">
        <is>
          <t>NR-1 e riscos psicossociais: o que muda para o RH</t>
        </is>
      </c>
      <c r="M37" s="17" t="inlineStr">
        <is>
          <t>Interesse</t>
        </is>
      </c>
      <c r="N37" s="17" t="inlineStr">
        <is>
          <t>RH e liderança</t>
        </is>
      </c>
      <c r="O37" s="17" t="inlineStr">
        <is>
          <t>Salvamentos + envios por alcance</t>
        </is>
      </c>
      <c r="P37" s="17" t="inlineStr">
        <is>
          <t>Carrossel</t>
        </is>
      </c>
      <c r="Q37" s="17">
        <f>IFERROR(INDEX(Especificações!$G$2:$G$20,MATCH(P37,Especificações!$A$2:$A$20,0)),"")</f>
        <v/>
      </c>
      <c r="R37" s="17" t="inlineStr">
        <is>
          <t>8 slides</t>
        </is>
      </c>
      <c r="S37" s="17" t="n"/>
      <c r="T37" s="17" t="n"/>
      <c r="U37" s="17" t="n"/>
      <c r="V37" s="17" t="n"/>
      <c r="W37" s="16">
        <f>LEN(V37)</f>
        <v/>
      </c>
      <c r="X37" s="17" t="n"/>
      <c r="Y37" s="17" t="n"/>
      <c r="Z37" s="17" t="inlineStr">
        <is>
          <t>#fairhealth</t>
        </is>
      </c>
      <c r="AA37" s="17" t="n"/>
      <c r="AB37" s="17" t="inlineStr">
        <is>
          <t>Institucional</t>
        </is>
      </c>
      <c r="AC37" s="17" t="inlineStr">
        <is>
          <t>arte + C1/B</t>
        </is>
      </c>
      <c r="AD37" s="17" t="inlineStr"/>
      <c r="AE37" s="17" t="n"/>
      <c r="AF37" s="17" t="inlineStr">
        <is>
          <t>Sim</t>
        </is>
      </c>
      <c r="AG37" s="17" t="inlineStr">
        <is>
          <t>Dr. Ronald / Dra. Floriana</t>
        </is>
      </c>
      <c r="AH37" s="18">
        <f>IF(AF37="Sim",WORKDAY(D37,-Config!$B$6),"")</f>
        <v/>
      </c>
      <c r="AI37" s="17" t="n"/>
      <c r="AJ37" s="18">
        <f>WORKDAY(D37,-Config!$B$5)</f>
        <v/>
      </c>
      <c r="AK37" s="17" t="n"/>
      <c r="AL37" s="17" t="n"/>
      <c r="AM37" s="17" t="n"/>
      <c r="AN37" s="17" t="inlineStr">
        <is>
          <t>Cross-post do Instagram</t>
        </is>
      </c>
      <c r="AO37" s="17" t="n"/>
      <c r="AP37" s="17" t="n"/>
      <c r="AQ37" s="17" t="n"/>
    </row>
    <row r="38" ht="42" customHeight="1">
      <c r="A38" s="20" t="inlineStr">
        <is>
          <t>FH036</t>
        </is>
      </c>
      <c r="B38" s="20" t="n">
        <v>8</v>
      </c>
      <c r="C38" s="21" t="inlineStr">
        <is>
          <t>Segunda</t>
        </is>
      </c>
      <c r="D38" s="22">
        <f>Config!$B$3+(B38-1)*7+INDEX(Listas!$M$3:$M$7,MATCH(C38,Listas!$L$3:$L$7,0))-1</f>
        <v/>
      </c>
      <c r="E38" s="23">
        <f>Config!$B$4</f>
        <v/>
      </c>
      <c r="F38" s="20">
        <f>D38-Config!$B$3+1</f>
        <v/>
      </c>
      <c r="G38" s="21">
        <f>IF(F38&lt;=30,Config!$B$16,IF(F38&lt;=60,Config!$B$17,Config!$B$18))</f>
        <v/>
      </c>
      <c r="H38" s="21" t="inlineStr">
        <is>
          <t>Ideia</t>
        </is>
      </c>
      <c r="I38" s="21" t="inlineStr">
        <is>
          <t>Relacionamentos e propósito</t>
        </is>
      </c>
      <c r="J38" s="21" t="inlineStr">
        <is>
          <t>O que importa para você?</t>
        </is>
      </c>
      <c r="K38" s="21" t="inlineStr">
        <is>
          <t>O cuidado começa pela pessoa</t>
        </is>
      </c>
      <c r="L38" s="21" t="inlineStr">
        <is>
          <t>Quem faz diferença no seu dia de trabalho?</t>
        </is>
      </c>
      <c r="M38" s="21" t="inlineStr">
        <is>
          <t>Conversa</t>
        </is>
      </c>
      <c r="N38" s="21" t="inlineStr">
        <is>
          <t>Colaborador</t>
        </is>
      </c>
      <c r="O38" s="21" t="inlineStr">
        <is>
          <t>Respostas nos Stories; comentários; DMs</t>
        </is>
      </c>
      <c r="P38" s="21" t="inlineStr">
        <is>
          <t>Carrossel</t>
        </is>
      </c>
      <c r="Q38" s="21">
        <f>IFERROR(INDEX(Especificações!$G$2:$G$20,MATCH(P38,Especificações!$A$2:$A$20,0)),"")</f>
        <v/>
      </c>
      <c r="R38" s="21" t="inlineStr">
        <is>
          <t>8 slides</t>
        </is>
      </c>
      <c r="S38" s="21" t="n"/>
      <c r="T38" s="21" t="n"/>
      <c r="U38" s="21" t="n"/>
      <c r="V38" s="21" t="n"/>
      <c r="W38" s="20">
        <f>LEN(V38)</f>
        <v/>
      </c>
      <c r="X38" s="21" t="n"/>
      <c r="Y38" s="21" t="n"/>
      <c r="Z38" s="21" t="inlineStr">
        <is>
          <t>#fairhealth</t>
        </is>
      </c>
      <c r="AA38" s="21" t="n"/>
      <c r="AB38" s="21" t="inlineStr">
        <is>
          <t>Editorial</t>
        </is>
      </c>
      <c r="AC38" s="21" t="inlineStr">
        <is>
          <t>D (pilar da semana) ou arte</t>
        </is>
      </c>
      <c r="AD38" s="21" t="inlineStr"/>
      <c r="AE38" s="21" t="n"/>
      <c r="AF38" s="21" t="inlineStr">
        <is>
          <t>Não</t>
        </is>
      </c>
      <c r="AG38" s="21" t="inlineStr"/>
      <c r="AH38" s="22">
        <f>IF(AF38="Sim",WORKDAY(D38,-Config!$B$6),"")</f>
        <v/>
      </c>
      <c r="AI38" s="21" t="n"/>
      <c r="AJ38" s="22">
        <f>WORKDAY(D38,-Config!$B$5)</f>
        <v/>
      </c>
      <c r="AK38" s="21" t="n"/>
      <c r="AL38" s="21" t="n"/>
      <c r="AM38" s="21" t="n"/>
      <c r="AN38" s="21" t="inlineStr">
        <is>
          <t>Cross-post do Instagram</t>
        </is>
      </c>
      <c r="AO38" s="21" t="n"/>
      <c r="AP38" s="21" t="n"/>
      <c r="AQ38" s="21" t="n"/>
    </row>
    <row r="39" ht="42" customHeight="1">
      <c r="A39" s="20" t="inlineStr">
        <is>
          <t>FH037</t>
        </is>
      </c>
      <c r="B39" s="20" t="n">
        <v>8</v>
      </c>
      <c r="C39" s="21" t="inlineStr">
        <is>
          <t>Terça</t>
        </is>
      </c>
      <c r="D39" s="22">
        <f>Config!$B$3+(B39-1)*7+INDEX(Listas!$M$3:$M$7,MATCH(C39,Listas!$L$3:$L$7,0))-1</f>
        <v/>
      </c>
      <c r="E39" s="23">
        <f>Config!$B$4</f>
        <v/>
      </c>
      <c r="F39" s="20">
        <f>D39-Config!$B$3+1</f>
        <v/>
      </c>
      <c r="G39" s="21">
        <f>IF(F39&lt;=30,Config!$B$16,IF(F39&lt;=60,Config!$B$17,Config!$B$18))</f>
        <v/>
      </c>
      <c r="H39" s="21" t="inlineStr">
        <is>
          <t>Ideia</t>
        </is>
      </c>
      <c r="I39" s="21" t="inlineStr">
        <is>
          <t>Relacionamentos e propósito</t>
        </is>
      </c>
      <c r="J39" s="21" t="inlineStr">
        <is>
          <t>1 Minuto de Cuidado</t>
        </is>
      </c>
      <c r="K39" s="21" t="inlineStr">
        <is>
          <t>Viver melhor</t>
        </is>
      </c>
      <c r="L39" s="21" t="inlineStr">
        <is>
          <t>Conexões no trabalho também são saúde</t>
        </is>
      </c>
      <c r="M39" s="21" t="inlineStr">
        <is>
          <t>Descoberta</t>
        </is>
      </c>
      <c r="N39" s="21" t="inlineStr">
        <is>
          <t>Colaborador</t>
        </is>
      </c>
      <c r="O39" s="21" t="inlineStr">
        <is>
          <t>Alcance em não seguidores; retenção</t>
        </is>
      </c>
      <c r="P39" s="21" t="inlineStr">
        <is>
          <t>Reel</t>
        </is>
      </c>
      <c r="Q39" s="21">
        <f>IFERROR(INDEX(Especificações!$G$2:$G$20,MATCH(P39,Especificações!$A$2:$A$20,0)),"")</f>
        <v/>
      </c>
      <c r="R39" s="21" t="inlineStr">
        <is>
          <t>30–45 s</t>
        </is>
      </c>
      <c r="S39" s="21" t="n"/>
      <c r="T39" s="21" t="n"/>
      <c r="U39" s="21" t="n"/>
      <c r="V39" s="21" t="n"/>
      <c r="W39" s="20">
        <f>LEN(V39)</f>
        <v/>
      </c>
      <c r="X39" s="21" t="n"/>
      <c r="Y39" s="21" t="n"/>
      <c r="Z39" s="21" t="inlineStr">
        <is>
          <t>#fairhealth</t>
        </is>
      </c>
      <c r="AA39" s="21" t="n"/>
      <c r="AB39" s="21" t="inlineStr">
        <is>
          <t>Vídeo com profissional</t>
        </is>
      </c>
      <c r="AC39" s="21" t="inlineStr">
        <is>
          <t>gravação da diária mensal</t>
        </is>
      </c>
      <c r="AD39" s="21" t="inlineStr"/>
      <c r="AE39" s="21" t="n"/>
      <c r="AF39" s="21" t="inlineStr">
        <is>
          <t>Sim</t>
        </is>
      </c>
      <c r="AG39" s="21" t="inlineStr">
        <is>
          <t>Dr. Ronald / Dra. Floriana</t>
        </is>
      </c>
      <c r="AH39" s="22">
        <f>IF(AF39="Sim",WORKDAY(D39,-Config!$B$6),"")</f>
        <v/>
      </c>
      <c r="AI39" s="21" t="n"/>
      <c r="AJ39" s="22">
        <f>WORKDAY(D39,-Config!$B$5)</f>
        <v/>
      </c>
      <c r="AK39" s="21" t="n"/>
      <c r="AL39" s="21" t="n"/>
      <c r="AM39" s="21" t="n"/>
      <c r="AN39" s="21" t="inlineStr">
        <is>
          <t>Cross-post do Instagram</t>
        </is>
      </c>
      <c r="AO39" s="21" t="n"/>
      <c r="AP39" s="21" t="n"/>
      <c r="AQ39" s="21" t="n"/>
    </row>
    <row r="40" ht="42" customHeight="1">
      <c r="A40" s="20" t="inlineStr">
        <is>
          <t>FH038</t>
        </is>
      </c>
      <c r="B40" s="20" t="n">
        <v>8</v>
      </c>
      <c r="C40" s="21" t="inlineStr">
        <is>
          <t>Quarta</t>
        </is>
      </c>
      <c r="D40" s="22">
        <f>Config!$B$3+(B40-1)*7+INDEX(Listas!$M$3:$M$7,MATCH(C40,Listas!$L$3:$L$7,0))-1</f>
        <v/>
      </c>
      <c r="E40" s="23">
        <f>Config!$B$4</f>
        <v/>
      </c>
      <c r="F40" s="20">
        <f>D40-Config!$B$3+1</f>
        <v/>
      </c>
      <c r="G40" s="21">
        <f>IF(F40&lt;=30,Config!$B$16,IF(F40&lt;=60,Config!$B$17,Config!$B$18))</f>
        <v/>
      </c>
      <c r="H40" s="21" t="inlineStr">
        <is>
          <t>Ideia</t>
        </is>
      </c>
      <c r="I40" s="21" t="inlineStr">
        <is>
          <t>Relacionamentos e propósito</t>
        </is>
      </c>
      <c r="J40" s="21" t="inlineStr">
        <is>
          <t>7 pilares</t>
        </is>
      </c>
      <c r="K40" s="21" t="inlineStr">
        <is>
          <t>Viver melhor</t>
        </is>
      </c>
      <c r="L40" s="21" t="inlineStr">
        <is>
          <t>Pilares 6 e 7: Relações sociais e Propósito</t>
        </is>
      </c>
      <c r="M40" s="21" t="inlineStr">
        <is>
          <t>Interesse</t>
        </is>
      </c>
      <c r="N40" s="21" t="inlineStr">
        <is>
          <t>Colaborador</t>
        </is>
      </c>
      <c r="O40" s="21" t="inlineStr">
        <is>
          <t>Salvamentos + envios por alcance</t>
        </is>
      </c>
      <c r="P40" s="21" t="inlineStr">
        <is>
          <t>Carrossel</t>
        </is>
      </c>
      <c r="Q40" s="21">
        <f>IFERROR(INDEX(Especificações!$G$2:$G$20,MATCH(P40,Especificações!$A$2:$A$20,0)),"")</f>
        <v/>
      </c>
      <c r="R40" s="21" t="inlineStr">
        <is>
          <t>8 slides</t>
        </is>
      </c>
      <c r="S40" s="21" t="n"/>
      <c r="T40" s="21" t="n"/>
      <c r="U40" s="21" t="n"/>
      <c r="V40" s="21" t="n"/>
      <c r="W40" s="20">
        <f>LEN(V40)</f>
        <v/>
      </c>
      <c r="X40" s="21" t="n"/>
      <c r="Y40" s="21" t="n"/>
      <c r="Z40" s="21" t="inlineStr">
        <is>
          <t>#fairhealth</t>
        </is>
      </c>
      <c r="AA40" s="21" t="n"/>
      <c r="AB40" s="21" t="inlineStr">
        <is>
          <t>Pilares (duotone)</t>
        </is>
      </c>
      <c r="AC40" s="21" t="inlineStr">
        <is>
          <t>D (pilar da semana)</t>
        </is>
      </c>
      <c r="AD40" s="21" t="inlineStr"/>
      <c r="AE40" s="21" t="n"/>
      <c r="AF40" s="21" t="inlineStr">
        <is>
          <t>Sim</t>
        </is>
      </c>
      <c r="AG40" s="21" t="inlineStr">
        <is>
          <t>Dr. Ronald / Dra. Floriana</t>
        </is>
      </c>
      <c r="AH40" s="22">
        <f>IF(AF40="Sim",WORKDAY(D40,-Config!$B$6),"")</f>
        <v/>
      </c>
      <c r="AI40" s="21" t="n"/>
      <c r="AJ40" s="22">
        <f>WORKDAY(D40,-Config!$B$5)</f>
        <v/>
      </c>
      <c r="AK40" s="21" t="n"/>
      <c r="AL40" s="21" t="n"/>
      <c r="AM40" s="21" t="n"/>
      <c r="AN40" s="21" t="inlineStr">
        <is>
          <t>Cross-post do Instagram</t>
        </is>
      </c>
      <c r="AO40" s="21" t="n"/>
      <c r="AP40" s="21" t="n"/>
      <c r="AQ40" s="21" t="n"/>
    </row>
    <row r="41" ht="42" customHeight="1">
      <c r="A41" s="20" t="inlineStr">
        <is>
          <t>FH039</t>
        </is>
      </c>
      <c r="B41" s="20" t="n">
        <v>8</v>
      </c>
      <c r="C41" s="21" t="inlineStr">
        <is>
          <t>Quinta</t>
        </is>
      </c>
      <c r="D41" s="22">
        <f>Config!$B$3+(B41-1)*7+INDEX(Listas!$M$3:$M$7,MATCH(C41,Listas!$L$3:$L$7,0))-1</f>
        <v/>
      </c>
      <c r="E41" s="23">
        <f>Config!$B$4</f>
        <v/>
      </c>
      <c r="F41" s="20">
        <f>D41-Config!$B$3+1</f>
        <v/>
      </c>
      <c r="G41" s="21">
        <f>IF(F41&lt;=30,Config!$B$16,IF(F41&lt;=60,Config!$B$17,Config!$B$18))</f>
        <v/>
      </c>
      <c r="H41" s="21" t="inlineStr">
        <is>
          <t>Ideia</t>
        </is>
      </c>
      <c r="I41" s="21" t="inlineStr">
        <is>
          <t>Relacionamentos e propósito</t>
        </is>
      </c>
      <c r="J41" s="21" t="inlineStr">
        <is>
          <t>Por dentro da FAIR HEALTH</t>
        </is>
      </c>
      <c r="K41" s="21" t="inlineStr">
        <is>
          <t>É assim que a FAIR HEALTH cuida</t>
        </is>
      </c>
      <c r="L41" s="21" t="inlineStr">
        <is>
          <t>Um dia com o time da FAIR HEALTH</t>
        </is>
      </c>
      <c r="M41" s="21" t="inlineStr">
        <is>
          <t>Confiança</t>
        </is>
      </c>
      <c r="N41" s="21" t="inlineStr">
        <is>
          <t>Colaborador + RH</t>
        </is>
      </c>
      <c r="O41" s="21" t="inlineStr">
        <is>
          <t>Visitas ao perfil; comentários</t>
        </is>
      </c>
      <c r="P41" s="21" t="inlineStr">
        <is>
          <t>Reel</t>
        </is>
      </c>
      <c r="Q41" s="21">
        <f>IFERROR(INDEX(Especificações!$G$2:$G$20,MATCH(P41,Especificações!$A$2:$A$20,0)),"")</f>
        <v/>
      </c>
      <c r="R41" s="21" t="inlineStr">
        <is>
          <t>30–45 s</t>
        </is>
      </c>
      <c r="S41" s="21" t="n"/>
      <c r="T41" s="21" t="n"/>
      <c r="U41" s="21" t="n"/>
      <c r="V41" s="21" t="n"/>
      <c r="W41" s="20">
        <f>LEN(V41)</f>
        <v/>
      </c>
      <c r="X41" s="21" t="n"/>
      <c r="Y41" s="21" t="n"/>
      <c r="Z41" s="21" t="inlineStr">
        <is>
          <t>#fairhealth</t>
        </is>
      </c>
      <c r="AA41" s="21" t="n"/>
      <c r="AB41" s="21" t="inlineStr">
        <is>
          <t>Bastidor (Stories)</t>
        </is>
      </c>
      <c r="AC41" s="21" t="inlineStr">
        <is>
          <t>C3</t>
        </is>
      </c>
      <c r="AD41" s="21" t="inlineStr"/>
      <c r="AE41" s="21" t="n"/>
      <c r="AF41" s="21" t="inlineStr">
        <is>
          <t>Não</t>
        </is>
      </c>
      <c r="AG41" s="21" t="inlineStr"/>
      <c r="AH41" s="22">
        <f>IF(AF41="Sim",WORKDAY(D41,-Config!$B$6),"")</f>
        <v/>
      </c>
      <c r="AI41" s="21" t="n"/>
      <c r="AJ41" s="22">
        <f>WORKDAY(D41,-Config!$B$5)</f>
        <v/>
      </c>
      <c r="AK41" s="21" t="n"/>
      <c r="AL41" s="21" t="n"/>
      <c r="AM41" s="21" t="n"/>
      <c r="AN41" s="21" t="inlineStr">
        <is>
          <t>Cross-post do Instagram</t>
        </is>
      </c>
      <c r="AO41" s="21" t="n"/>
      <c r="AP41" s="21" t="n"/>
      <c r="AQ41" s="21" t="n"/>
    </row>
    <row r="42" ht="42" customHeight="1">
      <c r="A42" s="20" t="inlineStr">
        <is>
          <t>FH040</t>
        </is>
      </c>
      <c r="B42" s="20" t="n">
        <v>8</v>
      </c>
      <c r="C42" s="21" t="inlineStr">
        <is>
          <t>Sexta</t>
        </is>
      </c>
      <c r="D42" s="22">
        <f>Config!$B$3+(B42-1)*7+INDEX(Listas!$M$3:$M$7,MATCH(C42,Listas!$L$3:$L$7,0))-1</f>
        <v/>
      </c>
      <c r="E42" s="23">
        <f>Config!$B$4</f>
        <v/>
      </c>
      <c r="F42" s="20">
        <f>D42-Config!$B$3+1</f>
        <v/>
      </c>
      <c r="G42" s="21">
        <f>IF(F42&lt;=30,Config!$B$16,IF(F42&lt;=60,Config!$B$17,Config!$B$18))</f>
        <v/>
      </c>
      <c r="H42" s="21" t="inlineStr">
        <is>
          <t>Ideia</t>
        </is>
      </c>
      <c r="I42" s="21" t="inlineStr">
        <is>
          <t>Relacionamentos e propósito</t>
        </is>
      </c>
      <c r="J42" s="21" t="inlineStr">
        <is>
          <t>Empresas que cuidam</t>
        </is>
      </c>
      <c r="K42" s="21" t="inlineStr">
        <is>
          <t>Saúde dentro das empresas</t>
        </is>
      </c>
      <c r="L42" s="21" t="inlineStr">
        <is>
          <t>Pertencimento, clima e retenção: o papel da liderança</t>
        </is>
      </c>
      <c r="M42" s="21" t="inlineStr">
        <is>
          <t>Interesse</t>
        </is>
      </c>
      <c r="N42" s="21" t="inlineStr">
        <is>
          <t>RH e liderança</t>
        </is>
      </c>
      <c r="O42" s="21" t="inlineStr">
        <is>
          <t>Salvamentos + envios por alcance</t>
        </is>
      </c>
      <c r="P42" s="21" t="inlineStr">
        <is>
          <t>Carrossel</t>
        </is>
      </c>
      <c r="Q42" s="21">
        <f>IFERROR(INDEX(Especificações!$G$2:$G$20,MATCH(P42,Especificações!$A$2:$A$20,0)),"")</f>
        <v/>
      </c>
      <c r="R42" s="21" t="inlineStr">
        <is>
          <t>8 slides</t>
        </is>
      </c>
      <c r="S42" s="21" t="n"/>
      <c r="T42" s="21" t="n"/>
      <c r="U42" s="21" t="n"/>
      <c r="V42" s="21" t="n"/>
      <c r="W42" s="20">
        <f>LEN(V42)</f>
        <v/>
      </c>
      <c r="X42" s="21" t="n"/>
      <c r="Y42" s="21" t="n"/>
      <c r="Z42" s="21" t="inlineStr">
        <is>
          <t>#fairhealth</t>
        </is>
      </c>
      <c r="AA42" s="21" t="n"/>
      <c r="AB42" s="21" t="inlineStr">
        <is>
          <t>Institucional</t>
        </is>
      </c>
      <c r="AC42" s="21" t="inlineStr">
        <is>
          <t>arte + C1/B</t>
        </is>
      </c>
      <c r="AD42" s="21" t="inlineStr"/>
      <c r="AE42" s="21" t="n"/>
      <c r="AF42" s="21" t="inlineStr">
        <is>
          <t>Não</t>
        </is>
      </c>
      <c r="AG42" s="21" t="inlineStr"/>
      <c r="AH42" s="22">
        <f>IF(AF42="Sim",WORKDAY(D42,-Config!$B$6),"")</f>
        <v/>
      </c>
      <c r="AI42" s="21" t="n"/>
      <c r="AJ42" s="22">
        <f>WORKDAY(D42,-Config!$B$5)</f>
        <v/>
      </c>
      <c r="AK42" s="21" t="n"/>
      <c r="AL42" s="21" t="n"/>
      <c r="AM42" s="21" t="n"/>
      <c r="AN42" s="21" t="inlineStr">
        <is>
          <t>Cross-post do Instagram</t>
        </is>
      </c>
      <c r="AO42" s="21" t="n"/>
      <c r="AP42" s="21" t="n"/>
      <c r="AQ42" s="21" t="n"/>
    </row>
    <row r="43" ht="42" customHeight="1">
      <c r="A43" s="16" t="inlineStr">
        <is>
          <t>FH041</t>
        </is>
      </c>
      <c r="B43" s="16" t="n">
        <v>9</v>
      </c>
      <c r="C43" s="17" t="inlineStr">
        <is>
          <t>Segunda</t>
        </is>
      </c>
      <c r="D43" s="18">
        <f>Config!$B$3+(B43-1)*7+INDEX(Listas!$M$3:$M$7,MATCH(C43,Listas!$L$3:$L$7,0))-1</f>
        <v/>
      </c>
      <c r="E43" s="19">
        <f>Config!$B$4</f>
        <v/>
      </c>
      <c r="F43" s="16">
        <f>D43-Config!$B$3+1</f>
        <v/>
      </c>
      <c r="G43" s="17">
        <f>IF(F43&lt;=30,Config!$B$16,IF(F43&lt;=60,Config!$B$17,Config!$B$18))</f>
        <v/>
      </c>
      <c r="H43" s="17" t="inlineStr">
        <is>
          <t>Ideia</t>
        </is>
      </c>
      <c r="I43" s="17" t="inlineStr">
        <is>
          <t>Tecnologia que aproxima</t>
        </is>
      </c>
      <c r="J43" s="17" t="inlineStr">
        <is>
          <t>O que importa para você?</t>
        </is>
      </c>
      <c r="K43" s="17" t="inlineStr">
        <is>
          <t>O cuidado começa pela pessoa</t>
        </is>
      </c>
      <c r="L43" s="17" t="inlineStr">
        <is>
          <t>Tecnologia que aproxima: dados a favor da pessoa</t>
        </is>
      </c>
      <c r="M43" s="17" t="inlineStr">
        <is>
          <t>Interesse</t>
        </is>
      </c>
      <c r="N43" s="17" t="inlineStr">
        <is>
          <t>Colaborador + RH</t>
        </is>
      </c>
      <c r="O43" s="17" t="inlineStr">
        <is>
          <t>Salvamentos + envios por alcance</t>
        </is>
      </c>
      <c r="P43" s="17" t="inlineStr">
        <is>
          <t>Carrossel</t>
        </is>
      </c>
      <c r="Q43" s="17">
        <f>IFERROR(INDEX(Especificações!$G$2:$G$20,MATCH(P43,Especificações!$A$2:$A$20,0)),"")</f>
        <v/>
      </c>
      <c r="R43" s="17" t="inlineStr">
        <is>
          <t>8 slides</t>
        </is>
      </c>
      <c r="S43" s="17" t="n"/>
      <c r="T43" s="17" t="n"/>
      <c r="U43" s="17" t="n"/>
      <c r="V43" s="17" t="n"/>
      <c r="W43" s="16">
        <f>LEN(V43)</f>
        <v/>
      </c>
      <c r="X43" s="17" t="n"/>
      <c r="Y43" s="17" t="n"/>
      <c r="Z43" s="17" t="inlineStr">
        <is>
          <t>#fairhealth</t>
        </is>
      </c>
      <c r="AA43" s="17" t="n"/>
      <c r="AB43" s="17" t="inlineStr">
        <is>
          <t>Editorial</t>
        </is>
      </c>
      <c r="AC43" s="17" t="inlineStr">
        <is>
          <t>D (pilar da semana) ou arte</t>
        </is>
      </c>
      <c r="AD43" s="17" t="inlineStr"/>
      <c r="AE43" s="17" t="n"/>
      <c r="AF43" s="17" t="inlineStr">
        <is>
          <t>Não</t>
        </is>
      </c>
      <c r="AG43" s="17" t="inlineStr"/>
      <c r="AH43" s="18">
        <f>IF(AF43="Sim",WORKDAY(D43,-Config!$B$6),"")</f>
        <v/>
      </c>
      <c r="AI43" s="17" t="n"/>
      <c r="AJ43" s="18">
        <f>WORKDAY(D43,-Config!$B$5)</f>
        <v/>
      </c>
      <c r="AK43" s="17" t="n"/>
      <c r="AL43" s="17" t="n"/>
      <c r="AM43" s="17" t="n"/>
      <c r="AN43" s="17" t="inlineStr">
        <is>
          <t>Cross-post do Instagram</t>
        </is>
      </c>
      <c r="AO43" s="17" t="n"/>
      <c r="AP43" s="17" t="n"/>
      <c r="AQ43" s="17" t="n"/>
    </row>
    <row r="44" ht="42" customHeight="1">
      <c r="A44" s="16" t="inlineStr">
        <is>
          <t>FH042</t>
        </is>
      </c>
      <c r="B44" s="16" t="n">
        <v>9</v>
      </c>
      <c r="C44" s="17" t="inlineStr">
        <is>
          <t>Terça</t>
        </is>
      </c>
      <c r="D44" s="18">
        <f>Config!$B$3+(B44-1)*7+INDEX(Listas!$M$3:$M$7,MATCH(C44,Listas!$L$3:$L$7,0))-1</f>
        <v/>
      </c>
      <c r="E44" s="19">
        <f>Config!$B$4</f>
        <v/>
      </c>
      <c r="F44" s="16">
        <f>D44-Config!$B$3+1</f>
        <v/>
      </c>
      <c r="G44" s="17">
        <f>IF(F44&lt;=30,Config!$B$16,IF(F44&lt;=60,Config!$B$17,Config!$B$18))</f>
        <v/>
      </c>
      <c r="H44" s="17" t="inlineStr">
        <is>
          <t>Ideia</t>
        </is>
      </c>
      <c r="I44" s="17" t="inlineStr">
        <is>
          <t>Tecnologia que aproxima</t>
        </is>
      </c>
      <c r="J44" s="17" t="inlineStr">
        <is>
          <t>1 Minuto de Cuidado</t>
        </is>
      </c>
      <c r="K44" s="17" t="inlineStr">
        <is>
          <t>É assim que a FAIR HEALTH cuida</t>
        </is>
      </c>
      <c r="L44" s="17" t="inlineStr">
        <is>
          <t>Wearables: o que medem e por que usamos</t>
        </is>
      </c>
      <c r="M44" s="17" t="inlineStr">
        <is>
          <t>Descoberta</t>
        </is>
      </c>
      <c r="N44" s="17" t="inlineStr">
        <is>
          <t>Colaborador</t>
        </is>
      </c>
      <c r="O44" s="17" t="inlineStr">
        <is>
          <t>Alcance em não seguidores; retenção</t>
        </is>
      </c>
      <c r="P44" s="17" t="inlineStr">
        <is>
          <t>Reel</t>
        </is>
      </c>
      <c r="Q44" s="17">
        <f>IFERROR(INDEX(Especificações!$G$2:$G$20,MATCH(P44,Especificações!$A$2:$A$20,0)),"")</f>
        <v/>
      </c>
      <c r="R44" s="17" t="inlineStr">
        <is>
          <t>30–45 s</t>
        </is>
      </c>
      <c r="S44" s="17" t="n"/>
      <c r="T44" s="17" t="n"/>
      <c r="U44" s="17" t="n"/>
      <c r="V44" s="17" t="n"/>
      <c r="W44" s="16">
        <f>LEN(V44)</f>
        <v/>
      </c>
      <c r="X44" s="17" t="n"/>
      <c r="Y44" s="17" t="n"/>
      <c r="Z44" s="17" t="inlineStr">
        <is>
          <t>#fairhealth</t>
        </is>
      </c>
      <c r="AA44" s="17" t="n"/>
      <c r="AB44" s="17" t="inlineStr">
        <is>
          <t>Vídeo com profissional</t>
        </is>
      </c>
      <c r="AC44" s="17" t="inlineStr">
        <is>
          <t>gravação da diária mensal</t>
        </is>
      </c>
      <c r="AD44" s="17" t="inlineStr"/>
      <c r="AE44" s="17" t="n"/>
      <c r="AF44" s="17" t="inlineStr">
        <is>
          <t>Sim</t>
        </is>
      </c>
      <c r="AG44" s="17" t="inlineStr">
        <is>
          <t>Dr. Ronald / Dra. Floriana</t>
        </is>
      </c>
      <c r="AH44" s="18">
        <f>IF(AF44="Sim",WORKDAY(D44,-Config!$B$6),"")</f>
        <v/>
      </c>
      <c r="AI44" s="17" t="n"/>
      <c r="AJ44" s="18">
        <f>WORKDAY(D44,-Config!$B$5)</f>
        <v/>
      </c>
      <c r="AK44" s="17" t="n"/>
      <c r="AL44" s="17" t="n"/>
      <c r="AM44" s="17" t="n"/>
      <c r="AN44" s="17" t="inlineStr">
        <is>
          <t>Cross-post do Instagram</t>
        </is>
      </c>
      <c r="AO44" s="17" t="n"/>
      <c r="AP44" s="17" t="n"/>
      <c r="AQ44" s="17" t="n"/>
    </row>
    <row r="45" ht="42" customHeight="1">
      <c r="A45" s="16" t="inlineStr">
        <is>
          <t>FH043</t>
        </is>
      </c>
      <c r="B45" s="16" t="n">
        <v>9</v>
      </c>
      <c r="C45" s="17" t="inlineStr">
        <is>
          <t>Quarta</t>
        </is>
      </c>
      <c r="D45" s="18">
        <f>Config!$B$3+(B45-1)*7+INDEX(Listas!$M$3:$M$7,MATCH(C45,Listas!$L$3:$L$7,0))-1</f>
        <v/>
      </c>
      <c r="E45" s="19">
        <f>Config!$B$4</f>
        <v/>
      </c>
      <c r="F45" s="16">
        <f>D45-Config!$B$3+1</f>
        <v/>
      </c>
      <c r="G45" s="17">
        <f>IF(F45&lt;=30,Config!$B$16,IF(F45&lt;=60,Config!$B$17,Config!$B$18))</f>
        <v/>
      </c>
      <c r="H45" s="17" t="inlineStr">
        <is>
          <t>Ideia</t>
        </is>
      </c>
      <c r="I45" s="17" t="inlineStr">
        <is>
          <t>Tecnologia que aproxima</t>
        </is>
      </c>
      <c r="J45" s="17" t="inlineStr">
        <is>
          <t>Cuidado em números</t>
        </is>
      </c>
      <c r="K45" s="17" t="inlineStr">
        <is>
          <t>É assim que a FAIR HEALTH cuida</t>
        </is>
      </c>
      <c r="L45" s="17" t="inlineStr">
        <is>
          <t>Wearables no Escritório do Cuidado (carrossel pronto)</t>
        </is>
      </c>
      <c r="M45" s="17" t="inlineStr">
        <is>
          <t>Interesse</t>
        </is>
      </c>
      <c r="N45" s="17" t="inlineStr">
        <is>
          <t>Colaborador + RH</t>
        </is>
      </c>
      <c r="O45" s="17" t="inlineStr">
        <is>
          <t>Salvamentos + envios por alcance</t>
        </is>
      </c>
      <c r="P45" s="17" t="inlineStr">
        <is>
          <t>Carrossel</t>
        </is>
      </c>
      <c r="Q45" s="17">
        <f>IFERROR(INDEX(Especificações!$G$2:$G$20,MATCH(P45,Especificações!$A$2:$A$20,0)),"")</f>
        <v/>
      </c>
      <c r="R45" s="17" t="inlineStr">
        <is>
          <t>8 slides</t>
        </is>
      </c>
      <c r="S45" s="17" t="n"/>
      <c r="T45" s="17" t="n"/>
      <c r="U45" s="17" t="n"/>
      <c r="V45" s="17" t="n"/>
      <c r="W45" s="16">
        <f>LEN(V45)</f>
        <v/>
      </c>
      <c r="X45" s="17" t="n"/>
      <c r="Y45" s="17" t="n"/>
      <c r="Z45" s="17" t="inlineStr">
        <is>
          <t>#fairhealth</t>
        </is>
      </c>
      <c r="AA45" s="17" t="n"/>
      <c r="AB45" s="17" t="inlineStr">
        <is>
          <t>Institucional</t>
        </is>
      </c>
      <c r="AC45" s="17" t="inlineStr">
        <is>
          <t>arte + C1/B</t>
        </is>
      </c>
      <c r="AD45" s="17" t="inlineStr"/>
      <c r="AE45" s="17" t="n"/>
      <c r="AF45" s="17" t="inlineStr">
        <is>
          <t>Sim</t>
        </is>
      </c>
      <c r="AG45" s="17" t="inlineStr">
        <is>
          <t>Dr. Ronald / Dra. Floriana</t>
        </is>
      </c>
      <c r="AH45" s="18">
        <f>IF(AF45="Sim",WORKDAY(D45,-Config!$B$6),"")</f>
        <v/>
      </c>
      <c r="AI45" s="17" t="n"/>
      <c r="AJ45" s="18">
        <f>WORKDAY(D45,-Config!$B$5)</f>
        <v/>
      </c>
      <c r="AK45" s="17" t="n"/>
      <c r="AL45" s="17" t="n"/>
      <c r="AM45" s="17" t="n"/>
      <c r="AN45" s="17" t="inlineStr">
        <is>
          <t>Cross-post do Instagram</t>
        </is>
      </c>
      <c r="AO45" s="17" t="n"/>
      <c r="AP45" s="17" t="n"/>
      <c r="AQ45" s="17" t="n"/>
    </row>
    <row r="46" ht="42" customHeight="1">
      <c r="A46" s="16" t="inlineStr">
        <is>
          <t>FH044</t>
        </is>
      </c>
      <c r="B46" s="16" t="n">
        <v>9</v>
      </c>
      <c r="C46" s="17" t="inlineStr">
        <is>
          <t>Quinta</t>
        </is>
      </c>
      <c r="D46" s="18">
        <f>Config!$B$3+(B46-1)*7+INDEX(Listas!$M$3:$M$7,MATCH(C46,Listas!$L$3:$L$7,0))-1</f>
        <v/>
      </c>
      <c r="E46" s="19">
        <f>Config!$B$4</f>
        <v/>
      </c>
      <c r="F46" s="16">
        <f>D46-Config!$B$3+1</f>
        <v/>
      </c>
      <c r="G46" s="17">
        <f>IF(F46&lt;=30,Config!$B$16,IF(F46&lt;=60,Config!$B$17,Config!$B$18))</f>
        <v/>
      </c>
      <c r="H46" s="17" t="inlineStr">
        <is>
          <t>Ideia</t>
        </is>
      </c>
      <c r="I46" s="17" t="inlineStr">
        <is>
          <t>Tecnologia que aproxima</t>
        </is>
      </c>
      <c r="J46" s="17" t="inlineStr">
        <is>
          <t>Por dentro da FAIR HEALTH</t>
        </is>
      </c>
      <c r="K46" s="17" t="inlineStr">
        <is>
          <t>É assim que a FAIR HEALTH cuida</t>
        </is>
      </c>
      <c r="L46" s="17" t="inlineStr">
        <is>
          <t>A plataforma por dentro: prontuário, histórico e metas</t>
        </is>
      </c>
      <c r="M46" s="17" t="inlineStr">
        <is>
          <t>Confiança</t>
        </is>
      </c>
      <c r="N46" s="17" t="inlineStr">
        <is>
          <t>RH e liderança</t>
        </is>
      </c>
      <c r="O46" s="17" t="inlineStr">
        <is>
          <t>Visitas ao perfil; comentários</t>
        </is>
      </c>
      <c r="P46" s="17" t="inlineStr">
        <is>
          <t>Reel</t>
        </is>
      </c>
      <c r="Q46" s="17">
        <f>IFERROR(INDEX(Especificações!$G$2:$G$20,MATCH(P46,Especificações!$A$2:$A$20,0)),"")</f>
        <v/>
      </c>
      <c r="R46" s="17" t="inlineStr">
        <is>
          <t>30–45 s</t>
        </is>
      </c>
      <c r="S46" s="17" t="n"/>
      <c r="T46" s="17" t="n"/>
      <c r="U46" s="17" t="n"/>
      <c r="V46" s="17" t="n"/>
      <c r="W46" s="16">
        <f>LEN(V46)</f>
        <v/>
      </c>
      <c r="X46" s="17" t="n"/>
      <c r="Y46" s="17" t="n"/>
      <c r="Z46" s="17" t="inlineStr">
        <is>
          <t>#fairhealth</t>
        </is>
      </c>
      <c r="AA46" s="17" t="n"/>
      <c r="AB46" s="17" t="inlineStr">
        <is>
          <t>Vídeo com profissional</t>
        </is>
      </c>
      <c r="AC46" s="17" t="inlineStr">
        <is>
          <t>gravação da diária mensal</t>
        </is>
      </c>
      <c r="AD46" s="17" t="inlineStr"/>
      <c r="AE46" s="17" t="n"/>
      <c r="AF46" s="17" t="inlineStr">
        <is>
          <t>Não</t>
        </is>
      </c>
      <c r="AG46" s="17" t="inlineStr"/>
      <c r="AH46" s="18">
        <f>IF(AF46="Sim",WORKDAY(D46,-Config!$B$6),"")</f>
        <v/>
      </c>
      <c r="AI46" s="17" t="n"/>
      <c r="AJ46" s="18">
        <f>WORKDAY(D46,-Config!$B$5)</f>
        <v/>
      </c>
      <c r="AK46" s="17" t="n"/>
      <c r="AL46" s="17" t="n"/>
      <c r="AM46" s="17" t="n"/>
      <c r="AN46" s="17" t="inlineStr">
        <is>
          <t>Cross-post do Instagram</t>
        </is>
      </c>
      <c r="AO46" s="17" t="n"/>
      <c r="AP46" s="17" t="n"/>
      <c r="AQ46" s="17" t="n"/>
    </row>
    <row r="47" ht="42" customHeight="1">
      <c r="A47" s="16" t="inlineStr">
        <is>
          <t>FH045</t>
        </is>
      </c>
      <c r="B47" s="16" t="n">
        <v>9</v>
      </c>
      <c r="C47" s="17" t="inlineStr">
        <is>
          <t>Sexta</t>
        </is>
      </c>
      <c r="D47" s="18">
        <f>Config!$B$3+(B47-1)*7+INDEX(Listas!$M$3:$M$7,MATCH(C47,Listas!$L$3:$L$7,0))-1</f>
        <v/>
      </c>
      <c r="E47" s="19">
        <f>Config!$B$4</f>
        <v/>
      </c>
      <c r="F47" s="16">
        <f>D47-Config!$B$3+1</f>
        <v/>
      </c>
      <c r="G47" s="17">
        <f>IF(F47&lt;=30,Config!$B$16,IF(F47&lt;=60,Config!$B$17,Config!$B$18))</f>
        <v/>
      </c>
      <c r="H47" s="17" t="inlineStr">
        <is>
          <t>Ideia</t>
        </is>
      </c>
      <c r="I47" s="17" t="inlineStr">
        <is>
          <t>Tecnologia que aproxima</t>
        </is>
      </c>
      <c r="J47" s="17" t="inlineStr">
        <is>
          <t>Empresas que cuidam</t>
        </is>
      </c>
      <c r="K47" s="17" t="inlineStr">
        <is>
          <t>Saúde dentro das empresas</t>
        </is>
      </c>
      <c r="L47" s="17" t="inlineStr">
        <is>
          <t>Dados anonimizados e LGPD: o que o RH vê e o que não vê</t>
        </is>
      </c>
      <c r="M47" s="17" t="inlineStr">
        <is>
          <t>Confiança</t>
        </is>
      </c>
      <c r="N47" s="17" t="inlineStr">
        <is>
          <t>RH e liderança</t>
        </is>
      </c>
      <c r="O47" s="17" t="inlineStr">
        <is>
          <t>Visitas ao perfil; comentários</t>
        </is>
      </c>
      <c r="P47" s="17" t="inlineStr">
        <is>
          <t>Carrossel</t>
        </is>
      </c>
      <c r="Q47" s="17">
        <f>IFERROR(INDEX(Especificações!$G$2:$G$20,MATCH(P47,Especificações!$A$2:$A$20,0)),"")</f>
        <v/>
      </c>
      <c r="R47" s="17" t="inlineStr">
        <is>
          <t>8 slides</t>
        </is>
      </c>
      <c r="S47" s="17" t="n"/>
      <c r="T47" s="17" t="n"/>
      <c r="U47" s="17" t="n"/>
      <c r="V47" s="17" t="n"/>
      <c r="W47" s="16">
        <f>LEN(V47)</f>
        <v/>
      </c>
      <c r="X47" s="17" t="n"/>
      <c r="Y47" s="17" t="n"/>
      <c r="Z47" s="17" t="inlineStr">
        <is>
          <t>#fairhealth</t>
        </is>
      </c>
      <c r="AA47" s="17" t="n"/>
      <c r="AB47" s="17" t="inlineStr">
        <is>
          <t>Institucional</t>
        </is>
      </c>
      <c r="AC47" s="17" t="inlineStr">
        <is>
          <t>arte + C1/B</t>
        </is>
      </c>
      <c r="AD47" s="17" t="inlineStr"/>
      <c r="AE47" s="17" t="n"/>
      <c r="AF47" s="17" t="inlineStr">
        <is>
          <t>Sim</t>
        </is>
      </c>
      <c r="AG47" s="17" t="inlineStr">
        <is>
          <t>Dr. Ronald / Dra. Floriana</t>
        </is>
      </c>
      <c r="AH47" s="18">
        <f>IF(AF47="Sim",WORKDAY(D47,-Config!$B$6),"")</f>
        <v/>
      </c>
      <c r="AI47" s="17" t="n"/>
      <c r="AJ47" s="18">
        <f>WORKDAY(D47,-Config!$B$5)</f>
        <v/>
      </c>
      <c r="AK47" s="17" t="n"/>
      <c r="AL47" s="17" t="n"/>
      <c r="AM47" s="17" t="n"/>
      <c r="AN47" s="17" t="inlineStr">
        <is>
          <t>Cross-post do Instagram</t>
        </is>
      </c>
      <c r="AO47" s="17" t="n"/>
      <c r="AP47" s="17" t="n"/>
      <c r="AQ47" s="17" t="n"/>
    </row>
    <row r="48" ht="42" customHeight="1">
      <c r="A48" s="20" t="inlineStr">
        <is>
          <t>FH046</t>
        </is>
      </c>
      <c r="B48" s="20" t="n">
        <v>10</v>
      </c>
      <c r="C48" s="21" t="inlineStr">
        <is>
          <t>Segunda</t>
        </is>
      </c>
      <c r="D48" s="22">
        <f>Config!$B$3+(B48-1)*7+INDEX(Listas!$M$3:$M$7,MATCH(C48,Listas!$L$3:$L$7,0))-1</f>
        <v/>
      </c>
      <c r="E48" s="23">
        <f>Config!$B$4</f>
        <v/>
      </c>
      <c r="F48" s="20">
        <f>D48-Config!$B$3+1</f>
        <v/>
      </c>
      <c r="G48" s="21">
        <f>IF(F48&lt;=30,Config!$B$16,IF(F48&lt;=60,Config!$B$17,Config!$B$18))</f>
        <v/>
      </c>
      <c r="H48" s="21" t="inlineStr">
        <is>
          <t>Ideia</t>
        </is>
      </c>
      <c r="I48" s="21" t="inlineStr">
        <is>
          <t>Plano individualizado</t>
        </is>
      </c>
      <c r="J48" s="21" t="inlineStr">
        <is>
          <t>O que importa para você?</t>
        </is>
      </c>
      <c r="K48" s="21" t="inlineStr">
        <is>
          <t>O cuidado começa pela pessoa</t>
        </is>
      </c>
      <c r="L48" s="21" t="inlineStr">
        <is>
          <t>Metas que são suas: como definimos juntos (decisão compartilhada)</t>
        </is>
      </c>
      <c r="M48" s="21" t="inlineStr">
        <is>
          <t>Confiança</t>
        </is>
      </c>
      <c r="N48" s="21" t="inlineStr">
        <is>
          <t>Colaborador</t>
        </is>
      </c>
      <c r="O48" s="21" t="inlineStr">
        <is>
          <t>Visitas ao perfil; comentários</t>
        </is>
      </c>
      <c r="P48" s="21" t="inlineStr">
        <is>
          <t>Carrossel</t>
        </is>
      </c>
      <c r="Q48" s="21">
        <f>IFERROR(INDEX(Especificações!$G$2:$G$20,MATCH(P48,Especificações!$A$2:$A$20,0)),"")</f>
        <v/>
      </c>
      <c r="R48" s="21" t="inlineStr">
        <is>
          <t>8 slides</t>
        </is>
      </c>
      <c r="S48" s="21" t="n"/>
      <c r="T48" s="21" t="n"/>
      <c r="U48" s="21" t="n"/>
      <c r="V48" s="21" t="n"/>
      <c r="W48" s="20">
        <f>LEN(V48)</f>
        <v/>
      </c>
      <c r="X48" s="21" t="n"/>
      <c r="Y48" s="21" t="n"/>
      <c r="Z48" s="21" t="inlineStr">
        <is>
          <t>#fairhealth</t>
        </is>
      </c>
      <c r="AA48" s="21" t="n"/>
      <c r="AB48" s="21" t="inlineStr">
        <is>
          <t>Editorial</t>
        </is>
      </c>
      <c r="AC48" s="21" t="inlineStr">
        <is>
          <t>D (pilar da semana) ou arte</t>
        </is>
      </c>
      <c r="AD48" s="21" t="inlineStr"/>
      <c r="AE48" s="21" t="n"/>
      <c r="AF48" s="21" t="inlineStr">
        <is>
          <t>Não</t>
        </is>
      </c>
      <c r="AG48" s="21" t="inlineStr"/>
      <c r="AH48" s="22">
        <f>IF(AF48="Sim",WORKDAY(D48,-Config!$B$6),"")</f>
        <v/>
      </c>
      <c r="AI48" s="21" t="n"/>
      <c r="AJ48" s="22">
        <f>WORKDAY(D48,-Config!$B$5)</f>
        <v/>
      </c>
      <c r="AK48" s="21" t="n"/>
      <c r="AL48" s="21" t="n"/>
      <c r="AM48" s="21" t="n"/>
      <c r="AN48" s="21" t="inlineStr">
        <is>
          <t>Cross-post do Instagram</t>
        </is>
      </c>
      <c r="AO48" s="21" t="n"/>
      <c r="AP48" s="21" t="n"/>
      <c r="AQ48" s="21" t="n"/>
    </row>
    <row r="49" ht="42" customHeight="1">
      <c r="A49" s="20" t="inlineStr">
        <is>
          <t>FH047</t>
        </is>
      </c>
      <c r="B49" s="20" t="n">
        <v>10</v>
      </c>
      <c r="C49" s="21" t="inlineStr">
        <is>
          <t>Terça</t>
        </is>
      </c>
      <c r="D49" s="22">
        <f>Config!$B$3+(B49-1)*7+INDEX(Listas!$M$3:$M$7,MATCH(C49,Listas!$L$3:$L$7,0))-1</f>
        <v/>
      </c>
      <c r="E49" s="23">
        <f>Config!$B$4</f>
        <v/>
      </c>
      <c r="F49" s="20">
        <f>D49-Config!$B$3+1</f>
        <v/>
      </c>
      <c r="G49" s="21">
        <f>IF(F49&lt;=30,Config!$B$16,IF(F49&lt;=60,Config!$B$17,Config!$B$18))</f>
        <v/>
      </c>
      <c r="H49" s="21" t="inlineStr">
        <is>
          <t>Ideia</t>
        </is>
      </c>
      <c r="I49" s="21" t="inlineStr">
        <is>
          <t>Plano individualizado</t>
        </is>
      </c>
      <c r="J49" s="21" t="inlineStr">
        <is>
          <t>1 Minuto de Cuidado</t>
        </is>
      </c>
      <c r="K49" s="21" t="inlineStr">
        <is>
          <t>Viver melhor</t>
        </is>
      </c>
      <c r="L49" s="21" t="inlineStr">
        <is>
          <t>Como definir uma meta de saúde possível</t>
        </is>
      </c>
      <c r="M49" s="21" t="inlineStr">
        <is>
          <t>Descoberta</t>
        </is>
      </c>
      <c r="N49" s="21" t="inlineStr">
        <is>
          <t>Colaborador</t>
        </is>
      </c>
      <c r="O49" s="21" t="inlineStr">
        <is>
          <t>Alcance em não seguidores; retenção</t>
        </is>
      </c>
      <c r="P49" s="21" t="inlineStr">
        <is>
          <t>Reel</t>
        </is>
      </c>
      <c r="Q49" s="21">
        <f>IFERROR(INDEX(Especificações!$G$2:$G$20,MATCH(P49,Especificações!$A$2:$A$20,0)),"")</f>
        <v/>
      </c>
      <c r="R49" s="21" t="inlineStr">
        <is>
          <t>30–45 s</t>
        </is>
      </c>
      <c r="S49" s="21" t="n"/>
      <c r="T49" s="21" t="n"/>
      <c r="U49" s="21" t="n"/>
      <c r="V49" s="21" t="n"/>
      <c r="W49" s="20">
        <f>LEN(V49)</f>
        <v/>
      </c>
      <c r="X49" s="21" t="n"/>
      <c r="Y49" s="21" t="n"/>
      <c r="Z49" s="21" t="inlineStr">
        <is>
          <t>#fairhealth</t>
        </is>
      </c>
      <c r="AA49" s="21" t="n"/>
      <c r="AB49" s="21" t="inlineStr">
        <is>
          <t>Vídeo com profissional</t>
        </is>
      </c>
      <c r="AC49" s="21" t="inlineStr">
        <is>
          <t>gravação da diária mensal</t>
        </is>
      </c>
      <c r="AD49" s="21" t="inlineStr"/>
      <c r="AE49" s="21" t="n"/>
      <c r="AF49" s="21" t="inlineStr">
        <is>
          <t>Sim</t>
        </is>
      </c>
      <c r="AG49" s="21" t="inlineStr">
        <is>
          <t>Dr. Ronald / Dra. Floriana</t>
        </is>
      </c>
      <c r="AH49" s="22">
        <f>IF(AF49="Sim",WORKDAY(D49,-Config!$B$6),"")</f>
        <v/>
      </c>
      <c r="AI49" s="21" t="n"/>
      <c r="AJ49" s="22">
        <f>WORKDAY(D49,-Config!$B$5)</f>
        <v/>
      </c>
      <c r="AK49" s="21" t="n"/>
      <c r="AL49" s="21" t="n"/>
      <c r="AM49" s="21" t="n"/>
      <c r="AN49" s="21" t="inlineStr">
        <is>
          <t>Cross-post do Instagram</t>
        </is>
      </c>
      <c r="AO49" s="21" t="n"/>
      <c r="AP49" s="21" t="n"/>
      <c r="AQ49" s="21" t="n"/>
    </row>
    <row r="50" ht="42" customHeight="1">
      <c r="A50" s="20" t="inlineStr">
        <is>
          <t>FH048</t>
        </is>
      </c>
      <c r="B50" s="20" t="n">
        <v>10</v>
      </c>
      <c r="C50" s="21" t="inlineStr">
        <is>
          <t>Quarta</t>
        </is>
      </c>
      <c r="D50" s="22">
        <f>Config!$B$3+(B50-1)*7+INDEX(Listas!$M$3:$M$7,MATCH(C50,Listas!$L$3:$L$7,0))-1</f>
        <v/>
      </c>
      <c r="E50" s="23">
        <f>Config!$B$4</f>
        <v/>
      </c>
      <c r="F50" s="20">
        <f>D50-Config!$B$3+1</f>
        <v/>
      </c>
      <c r="G50" s="21">
        <f>IF(F50&lt;=30,Config!$B$16,IF(F50&lt;=60,Config!$B$17,Config!$B$18))</f>
        <v/>
      </c>
      <c r="H50" s="21" t="inlineStr">
        <is>
          <t>Ideia</t>
        </is>
      </c>
      <c r="I50" s="21" t="inlineStr">
        <is>
          <t>Plano individualizado</t>
        </is>
      </c>
      <c r="J50" s="21" t="inlineStr">
        <is>
          <t>Cuidado em números</t>
        </is>
      </c>
      <c r="K50" s="21" t="inlineStr">
        <is>
          <t>É assim que a FAIR HEALTH cuida</t>
        </is>
      </c>
      <c r="L50" s="21" t="inlineStr">
        <is>
          <t>Adesão e retorno: Chemitec, 1º semestre de 2026</t>
        </is>
      </c>
      <c r="M50" s="21" t="inlineStr">
        <is>
          <t>Confiança</t>
        </is>
      </c>
      <c r="N50" s="21" t="inlineStr">
        <is>
          <t>RH e liderança</t>
        </is>
      </c>
      <c r="O50" s="21" t="inlineStr">
        <is>
          <t>Visitas ao perfil; comentários</t>
        </is>
      </c>
      <c r="P50" s="21" t="inlineStr">
        <is>
          <t>Carrossel</t>
        </is>
      </c>
      <c r="Q50" s="21">
        <f>IFERROR(INDEX(Especificações!$G$2:$G$20,MATCH(P50,Especificações!$A$2:$A$20,0)),"")</f>
        <v/>
      </c>
      <c r="R50" s="21" t="inlineStr">
        <is>
          <t>8 slides</t>
        </is>
      </c>
      <c r="S50" s="21" t="n"/>
      <c r="T50" s="21" t="n"/>
      <c r="U50" s="21" t="n"/>
      <c r="V50" s="21" t="n"/>
      <c r="W50" s="20">
        <f>LEN(V50)</f>
        <v/>
      </c>
      <c r="X50" s="21" t="n"/>
      <c r="Y50" s="21" t="n"/>
      <c r="Z50" s="21" t="inlineStr">
        <is>
          <t>#fairhealth</t>
        </is>
      </c>
      <c r="AA50" s="21" t="n"/>
      <c r="AB50" s="21" t="inlineStr">
        <is>
          <t>Institucional</t>
        </is>
      </c>
      <c r="AC50" s="21" t="inlineStr">
        <is>
          <t>arte + C1/B</t>
        </is>
      </c>
      <c r="AD50" s="21" t="inlineStr"/>
      <c r="AE50" s="21" t="n"/>
      <c r="AF50" s="21" t="inlineStr">
        <is>
          <t>Não</t>
        </is>
      </c>
      <c r="AG50" s="21" t="inlineStr"/>
      <c r="AH50" s="22">
        <f>IF(AF50="Sim",WORKDAY(D50,-Config!$B$6),"")</f>
        <v/>
      </c>
      <c r="AI50" s="21" t="n"/>
      <c r="AJ50" s="22">
        <f>WORKDAY(D50,-Config!$B$5)</f>
        <v/>
      </c>
      <c r="AK50" s="21" t="n"/>
      <c r="AL50" s="21" t="n"/>
      <c r="AM50" s="21" t="n"/>
      <c r="AN50" s="21" t="inlineStr">
        <is>
          <t>Cross-post do Instagram</t>
        </is>
      </c>
      <c r="AO50" s="21" t="n"/>
      <c r="AP50" s="21" t="n"/>
      <c r="AQ50" s="21" t="n"/>
    </row>
    <row r="51" ht="42" customHeight="1">
      <c r="A51" s="20" t="inlineStr">
        <is>
          <t>FH049</t>
        </is>
      </c>
      <c r="B51" s="20" t="n">
        <v>10</v>
      </c>
      <c r="C51" s="21" t="inlineStr">
        <is>
          <t>Quinta</t>
        </is>
      </c>
      <c r="D51" s="22">
        <f>Config!$B$3+(B51-1)*7+INDEX(Listas!$M$3:$M$7,MATCH(C51,Listas!$L$3:$L$7,0))-1</f>
        <v/>
      </c>
      <c r="E51" s="23">
        <f>Config!$B$4</f>
        <v/>
      </c>
      <c r="F51" s="20">
        <f>D51-Config!$B$3+1</f>
        <v/>
      </c>
      <c r="G51" s="21">
        <f>IF(F51&lt;=30,Config!$B$16,IF(F51&lt;=60,Config!$B$17,Config!$B$18))</f>
        <v/>
      </c>
      <c r="H51" s="21" t="inlineStr">
        <is>
          <t>Ideia</t>
        </is>
      </c>
      <c r="I51" s="21" t="inlineStr">
        <is>
          <t>Plano individualizado</t>
        </is>
      </c>
      <c r="J51" s="21" t="inlineStr">
        <is>
          <t>Por dentro da FAIR HEALTH</t>
        </is>
      </c>
      <c r="K51" s="21" t="inlineStr">
        <is>
          <t>O cuidado começa pela pessoa</t>
        </is>
      </c>
      <c r="L51" s="21" t="inlineStr">
        <is>
          <t>Da avaliação ao acompanhamento: a jornada de uma pessoa</t>
        </is>
      </c>
      <c r="M51" s="21" t="inlineStr">
        <is>
          <t>Confiança</t>
        </is>
      </c>
      <c r="N51" s="21" t="inlineStr">
        <is>
          <t>Colaborador + RH</t>
        </is>
      </c>
      <c r="O51" s="21" t="inlineStr">
        <is>
          <t>Visitas ao perfil; comentários</t>
        </is>
      </c>
      <c r="P51" s="21" t="inlineStr">
        <is>
          <t>Reel</t>
        </is>
      </c>
      <c r="Q51" s="21">
        <f>IFERROR(INDEX(Especificações!$G$2:$G$20,MATCH(P51,Especificações!$A$2:$A$20,0)),"")</f>
        <v/>
      </c>
      <c r="R51" s="21" t="inlineStr">
        <is>
          <t>30–45 s</t>
        </is>
      </c>
      <c r="S51" s="21" t="n"/>
      <c r="T51" s="21" t="n"/>
      <c r="U51" s="21" t="n"/>
      <c r="V51" s="21" t="n"/>
      <c r="W51" s="20">
        <f>LEN(V51)</f>
        <v/>
      </c>
      <c r="X51" s="21" t="n"/>
      <c r="Y51" s="21" t="n"/>
      <c r="Z51" s="21" t="inlineStr">
        <is>
          <t>#fairhealth</t>
        </is>
      </c>
      <c r="AA51" s="21" t="n"/>
      <c r="AB51" s="21" t="inlineStr">
        <is>
          <t>Vídeo com profissional</t>
        </is>
      </c>
      <c r="AC51" s="21" t="inlineStr">
        <is>
          <t>gravação da diária mensal</t>
        </is>
      </c>
      <c r="AD51" s="21" t="inlineStr"/>
      <c r="AE51" s="21" t="n"/>
      <c r="AF51" s="21" t="inlineStr">
        <is>
          <t>Sim</t>
        </is>
      </c>
      <c r="AG51" s="21" t="inlineStr">
        <is>
          <t>Dr. Ronald / Dra. Floriana</t>
        </is>
      </c>
      <c r="AH51" s="22">
        <f>IF(AF51="Sim",WORKDAY(D51,-Config!$B$6),"")</f>
        <v/>
      </c>
      <c r="AI51" s="21" t="n"/>
      <c r="AJ51" s="22">
        <f>WORKDAY(D51,-Config!$B$5)</f>
        <v/>
      </c>
      <c r="AK51" s="21" t="n"/>
      <c r="AL51" s="21" t="n"/>
      <c r="AM51" s="21" t="n"/>
      <c r="AN51" s="21" t="inlineStr">
        <is>
          <t>Cross-post do Instagram</t>
        </is>
      </c>
      <c r="AO51" s="21" t="n"/>
      <c r="AP51" s="21" t="n"/>
      <c r="AQ51" s="21" t="n"/>
    </row>
    <row r="52" ht="42" customHeight="1">
      <c r="A52" s="20" t="inlineStr">
        <is>
          <t>FH050</t>
        </is>
      </c>
      <c r="B52" s="20" t="n">
        <v>10</v>
      </c>
      <c r="C52" s="21" t="inlineStr">
        <is>
          <t>Sexta</t>
        </is>
      </c>
      <c r="D52" s="22">
        <f>Config!$B$3+(B52-1)*7+INDEX(Listas!$M$3:$M$7,MATCH(C52,Listas!$L$3:$L$7,0))-1</f>
        <v/>
      </c>
      <c r="E52" s="23">
        <f>Config!$B$4</f>
        <v/>
      </c>
      <c r="F52" s="20">
        <f>D52-Config!$B$3+1</f>
        <v/>
      </c>
      <c r="G52" s="21">
        <f>IF(F52&lt;=30,Config!$B$16,IF(F52&lt;=60,Config!$B$17,Config!$B$18))</f>
        <v/>
      </c>
      <c r="H52" s="21" t="inlineStr">
        <is>
          <t>Ideia</t>
        </is>
      </c>
      <c r="I52" s="21" t="inlineStr">
        <is>
          <t>Plano individualizado</t>
        </is>
      </c>
      <c r="J52" s="21" t="inlineStr">
        <is>
          <t>Empresas que cuidam</t>
        </is>
      </c>
      <c r="K52" s="21" t="inlineStr">
        <is>
          <t>Saúde dentro das empresas</t>
        </is>
      </c>
      <c r="L52" s="21" t="inlineStr">
        <is>
          <t>Personalização em escala: como funciona para 50 ou 500 colaboradores</t>
        </is>
      </c>
      <c r="M52" s="21" t="inlineStr">
        <is>
          <t>Interesse</t>
        </is>
      </c>
      <c r="N52" s="21" t="inlineStr">
        <is>
          <t>RH e liderança</t>
        </is>
      </c>
      <c r="O52" s="21" t="inlineStr">
        <is>
          <t>Salvamentos + envios por alcance</t>
        </is>
      </c>
      <c r="P52" s="21" t="inlineStr">
        <is>
          <t>Carrossel</t>
        </is>
      </c>
      <c r="Q52" s="21">
        <f>IFERROR(INDEX(Especificações!$G$2:$G$20,MATCH(P52,Especificações!$A$2:$A$20,0)),"")</f>
        <v/>
      </c>
      <c r="R52" s="21" t="inlineStr">
        <is>
          <t>8 slides</t>
        </is>
      </c>
      <c r="S52" s="21" t="n"/>
      <c r="T52" s="21" t="n"/>
      <c r="U52" s="21" t="n"/>
      <c r="V52" s="21" t="n"/>
      <c r="W52" s="20">
        <f>LEN(V52)</f>
        <v/>
      </c>
      <c r="X52" s="21" t="n"/>
      <c r="Y52" s="21" t="n"/>
      <c r="Z52" s="21" t="inlineStr">
        <is>
          <t>#fairhealth</t>
        </is>
      </c>
      <c r="AA52" s="21" t="n"/>
      <c r="AB52" s="21" t="inlineStr">
        <is>
          <t>Institucional</t>
        </is>
      </c>
      <c r="AC52" s="21" t="inlineStr">
        <is>
          <t>arte + C1/B</t>
        </is>
      </c>
      <c r="AD52" s="21" t="inlineStr"/>
      <c r="AE52" s="21" t="n"/>
      <c r="AF52" s="21" t="inlineStr">
        <is>
          <t>Não</t>
        </is>
      </c>
      <c r="AG52" s="21" t="inlineStr"/>
      <c r="AH52" s="22">
        <f>IF(AF52="Sim",WORKDAY(D52,-Config!$B$6),"")</f>
        <v/>
      </c>
      <c r="AI52" s="21" t="n"/>
      <c r="AJ52" s="22">
        <f>WORKDAY(D52,-Config!$B$5)</f>
        <v/>
      </c>
      <c r="AK52" s="21" t="n"/>
      <c r="AL52" s="21" t="n"/>
      <c r="AM52" s="21" t="n"/>
      <c r="AN52" s="21" t="inlineStr">
        <is>
          <t>Cross-post do Instagram</t>
        </is>
      </c>
      <c r="AO52" s="21" t="n"/>
      <c r="AP52" s="21" t="n"/>
      <c r="AQ52" s="21" t="n"/>
    </row>
    <row r="53" ht="42" customHeight="1">
      <c r="A53" s="16" t="inlineStr">
        <is>
          <t>FH051</t>
        </is>
      </c>
      <c r="B53" s="16" t="n">
        <v>11</v>
      </c>
      <c r="C53" s="17" t="inlineStr">
        <is>
          <t>Segunda</t>
        </is>
      </c>
      <c r="D53" s="18">
        <f>Config!$B$3+(B53-1)*7+INDEX(Listas!$M$3:$M$7,MATCH(C53,Listas!$L$3:$L$7,0))-1</f>
        <v/>
      </c>
      <c r="E53" s="19">
        <f>Config!$B$4</f>
        <v/>
      </c>
      <c r="F53" s="16">
        <f>D53-Config!$B$3+1</f>
        <v/>
      </c>
      <c r="G53" s="17">
        <f>IF(F53&lt;=30,Config!$B$16,IF(F53&lt;=60,Config!$B$17,Config!$B$18))</f>
        <v/>
      </c>
      <c r="H53" s="17" t="inlineStr">
        <is>
          <t>Ideia</t>
        </is>
      </c>
      <c r="I53" s="17" t="inlineStr">
        <is>
          <t>Quintuple Aim</t>
        </is>
      </c>
      <c r="J53" s="17" t="inlineStr">
        <is>
          <t>O que importa para você?</t>
        </is>
      </c>
      <c r="K53" s="17" t="inlineStr">
        <is>
          <t>O cuidado começa pela pessoa</t>
        </is>
      </c>
      <c r="L53" s="17" t="inlineStr">
        <is>
          <t>Cuidado bom é bom para todos: o Quintuple Aim</t>
        </is>
      </c>
      <c r="M53" s="17" t="inlineStr">
        <is>
          <t>Interesse</t>
        </is>
      </c>
      <c r="N53" s="17" t="inlineStr">
        <is>
          <t>RH e liderança</t>
        </is>
      </c>
      <c r="O53" s="17" t="inlineStr">
        <is>
          <t>Salvamentos + envios por alcance</t>
        </is>
      </c>
      <c r="P53" s="17" t="inlineStr">
        <is>
          <t>Carrossel</t>
        </is>
      </c>
      <c r="Q53" s="17">
        <f>IFERROR(INDEX(Especificações!$G$2:$G$20,MATCH(P53,Especificações!$A$2:$A$20,0)),"")</f>
        <v/>
      </c>
      <c r="R53" s="17" t="inlineStr">
        <is>
          <t>8 slides</t>
        </is>
      </c>
      <c r="S53" s="17" t="n"/>
      <c r="T53" s="17" t="n"/>
      <c r="U53" s="17" t="n"/>
      <c r="V53" s="17" t="n"/>
      <c r="W53" s="16">
        <f>LEN(V53)</f>
        <v/>
      </c>
      <c r="X53" s="17" t="n"/>
      <c r="Y53" s="17" t="n"/>
      <c r="Z53" s="17" t="inlineStr">
        <is>
          <t>#fairhealth</t>
        </is>
      </c>
      <c r="AA53" s="17" t="n"/>
      <c r="AB53" s="17" t="inlineStr">
        <is>
          <t>Editorial</t>
        </is>
      </c>
      <c r="AC53" s="17" t="inlineStr">
        <is>
          <t>D (pilar da semana) ou arte</t>
        </is>
      </c>
      <c r="AD53" s="17" t="inlineStr"/>
      <c r="AE53" s="17" t="n"/>
      <c r="AF53" s="17" t="inlineStr">
        <is>
          <t>Não</t>
        </is>
      </c>
      <c r="AG53" s="17" t="inlineStr"/>
      <c r="AH53" s="18">
        <f>IF(AF53="Sim",WORKDAY(D53,-Config!$B$6),"")</f>
        <v/>
      </c>
      <c r="AI53" s="17" t="n"/>
      <c r="AJ53" s="18">
        <f>WORKDAY(D53,-Config!$B$5)</f>
        <v/>
      </c>
      <c r="AK53" s="17" t="n"/>
      <c r="AL53" s="17" t="n"/>
      <c r="AM53" s="17" t="n"/>
      <c r="AN53" s="17" t="inlineStr">
        <is>
          <t>Cross-post do Instagram</t>
        </is>
      </c>
      <c r="AO53" s="17" t="n"/>
      <c r="AP53" s="17" t="n"/>
      <c r="AQ53" s="17" t="n"/>
    </row>
    <row r="54" ht="42" customHeight="1">
      <c r="A54" s="16" t="inlineStr">
        <is>
          <t>FH052</t>
        </is>
      </c>
      <c r="B54" s="16" t="n">
        <v>11</v>
      </c>
      <c r="C54" s="17" t="inlineStr">
        <is>
          <t>Terça</t>
        </is>
      </c>
      <c r="D54" s="18">
        <f>Config!$B$3+(B54-1)*7+INDEX(Listas!$M$3:$M$7,MATCH(C54,Listas!$L$3:$L$7,0))-1</f>
        <v/>
      </c>
      <c r="E54" s="19">
        <f>Config!$B$4</f>
        <v/>
      </c>
      <c r="F54" s="16">
        <f>D54-Config!$B$3+1</f>
        <v/>
      </c>
      <c r="G54" s="17">
        <f>IF(F54&lt;=30,Config!$B$16,IF(F54&lt;=60,Config!$B$17,Config!$B$18))</f>
        <v/>
      </c>
      <c r="H54" s="17" t="inlineStr">
        <is>
          <t>Ideia</t>
        </is>
      </c>
      <c r="I54" s="17" t="inlineStr">
        <is>
          <t>Quintuple Aim</t>
        </is>
      </c>
      <c r="J54" s="17" t="inlineStr">
        <is>
          <t>1 Minuto de Cuidado</t>
        </is>
      </c>
      <c r="K54" s="17" t="inlineStr">
        <is>
          <t>Saúde dentro das empresas</t>
        </is>
      </c>
      <c r="L54" s="17" t="inlineStr">
        <is>
          <t>Quintuple Aim em 1 minuto</t>
        </is>
      </c>
      <c r="M54" s="17" t="inlineStr">
        <is>
          <t>Descoberta</t>
        </is>
      </c>
      <c r="N54" s="17" t="inlineStr">
        <is>
          <t>RH e liderança</t>
        </is>
      </c>
      <c r="O54" s="17" t="inlineStr">
        <is>
          <t>Alcance em não seguidores; retenção</t>
        </is>
      </c>
      <c r="P54" s="17" t="inlineStr">
        <is>
          <t>Reel</t>
        </is>
      </c>
      <c r="Q54" s="17">
        <f>IFERROR(INDEX(Especificações!$G$2:$G$20,MATCH(P54,Especificações!$A$2:$A$20,0)),"")</f>
        <v/>
      </c>
      <c r="R54" s="17" t="inlineStr">
        <is>
          <t>30–45 s</t>
        </is>
      </c>
      <c r="S54" s="17" t="n"/>
      <c r="T54" s="17" t="n"/>
      <c r="U54" s="17" t="n"/>
      <c r="V54" s="17" t="n"/>
      <c r="W54" s="16">
        <f>LEN(V54)</f>
        <v/>
      </c>
      <c r="X54" s="17" t="n"/>
      <c r="Y54" s="17" t="n"/>
      <c r="Z54" s="17" t="inlineStr">
        <is>
          <t>#fairhealth</t>
        </is>
      </c>
      <c r="AA54" s="17" t="n"/>
      <c r="AB54" s="17" t="inlineStr">
        <is>
          <t>Vídeo com profissional</t>
        </is>
      </c>
      <c r="AC54" s="17" t="inlineStr">
        <is>
          <t>gravação da diária mensal</t>
        </is>
      </c>
      <c r="AD54" s="17" t="inlineStr"/>
      <c r="AE54" s="17" t="n"/>
      <c r="AF54" s="17" t="inlineStr">
        <is>
          <t>Sim</t>
        </is>
      </c>
      <c r="AG54" s="17" t="inlineStr">
        <is>
          <t>Dr. Ronald / Dra. Floriana</t>
        </is>
      </c>
      <c r="AH54" s="18">
        <f>IF(AF54="Sim",WORKDAY(D54,-Config!$B$6),"")</f>
        <v/>
      </c>
      <c r="AI54" s="17" t="n"/>
      <c r="AJ54" s="18">
        <f>WORKDAY(D54,-Config!$B$5)</f>
        <v/>
      </c>
      <c r="AK54" s="17" t="n"/>
      <c r="AL54" s="17" t="n"/>
      <c r="AM54" s="17" t="n"/>
      <c r="AN54" s="17" t="inlineStr">
        <is>
          <t>Cross-post do Instagram</t>
        </is>
      </c>
      <c r="AO54" s="17" t="n"/>
      <c r="AP54" s="17" t="n"/>
      <c r="AQ54" s="17" t="n"/>
    </row>
    <row r="55" ht="42" customHeight="1">
      <c r="A55" s="16" t="inlineStr">
        <is>
          <t>FH053</t>
        </is>
      </c>
      <c r="B55" s="16" t="n">
        <v>11</v>
      </c>
      <c r="C55" s="17" t="inlineStr">
        <is>
          <t>Quarta</t>
        </is>
      </c>
      <c r="D55" s="18">
        <f>Config!$B$3+(B55-1)*7+INDEX(Listas!$M$3:$M$7,MATCH(C55,Listas!$L$3:$L$7,0))-1</f>
        <v/>
      </c>
      <c r="E55" s="19">
        <f>Config!$B$4</f>
        <v/>
      </c>
      <c r="F55" s="16">
        <f>D55-Config!$B$3+1</f>
        <v/>
      </c>
      <c r="G55" s="17">
        <f>IF(F55&lt;=30,Config!$B$16,IF(F55&lt;=60,Config!$B$17,Config!$B$18))</f>
        <v/>
      </c>
      <c r="H55" s="17" t="inlineStr">
        <is>
          <t>Ideia</t>
        </is>
      </c>
      <c r="I55" s="17" t="inlineStr">
        <is>
          <t>Quintuple Aim</t>
        </is>
      </c>
      <c r="J55" s="17" t="inlineStr">
        <is>
          <t>Cuidado em números</t>
        </is>
      </c>
      <c r="K55" s="17" t="inlineStr">
        <is>
          <t>É assim que a FAIR HEALTH cuida</t>
        </is>
      </c>
      <c r="L55" s="17" t="inlineStr">
        <is>
          <t>Case Hospital Dia Santo Amaro: de 34 para cerca de 20 reclamações por mês</t>
        </is>
      </c>
      <c r="M55" s="17" t="inlineStr">
        <is>
          <t>Confiança</t>
        </is>
      </c>
      <c r="N55" s="17" t="inlineStr">
        <is>
          <t>RH e liderança</t>
        </is>
      </c>
      <c r="O55" s="17" t="inlineStr">
        <is>
          <t>Visitas ao perfil; comentários</t>
        </is>
      </c>
      <c r="P55" s="17" t="inlineStr">
        <is>
          <t>Carrossel</t>
        </is>
      </c>
      <c r="Q55" s="17">
        <f>IFERROR(INDEX(Especificações!$G$2:$G$20,MATCH(P55,Especificações!$A$2:$A$20,0)),"")</f>
        <v/>
      </c>
      <c r="R55" s="17" t="inlineStr">
        <is>
          <t>8 slides</t>
        </is>
      </c>
      <c r="S55" s="17" t="n"/>
      <c r="T55" s="17" t="n"/>
      <c r="U55" s="17" t="n"/>
      <c r="V55" s="17" t="n"/>
      <c r="W55" s="16">
        <f>LEN(V55)</f>
        <v/>
      </c>
      <c r="X55" s="17" t="n"/>
      <c r="Y55" s="17" t="n"/>
      <c r="Z55" s="17" t="inlineStr">
        <is>
          <t>#fairhealth</t>
        </is>
      </c>
      <c r="AA55" s="17" t="n"/>
      <c r="AB55" s="17" t="inlineStr">
        <is>
          <t>Institucional</t>
        </is>
      </c>
      <c r="AC55" s="17" t="inlineStr">
        <is>
          <t>arte + C1/B</t>
        </is>
      </c>
      <c r="AD55" s="17" t="inlineStr"/>
      <c r="AE55" s="17" t="n"/>
      <c r="AF55" s="17" t="inlineStr">
        <is>
          <t>Não</t>
        </is>
      </c>
      <c r="AG55" s="17" t="inlineStr"/>
      <c r="AH55" s="18">
        <f>IF(AF55="Sim",WORKDAY(D55,-Config!$B$6),"")</f>
        <v/>
      </c>
      <c r="AI55" s="17" t="n"/>
      <c r="AJ55" s="18">
        <f>WORKDAY(D55,-Config!$B$5)</f>
        <v/>
      </c>
      <c r="AK55" s="17" t="n"/>
      <c r="AL55" s="17" t="n"/>
      <c r="AM55" s="17" t="n"/>
      <c r="AN55" s="17" t="inlineStr">
        <is>
          <t>Cross-post do Instagram</t>
        </is>
      </c>
      <c r="AO55" s="17" t="n"/>
      <c r="AP55" s="17" t="n"/>
      <c r="AQ55" s="17" t="n"/>
    </row>
    <row r="56" ht="42" customHeight="1">
      <c r="A56" s="16" t="inlineStr">
        <is>
          <t>FH054</t>
        </is>
      </c>
      <c r="B56" s="16" t="n">
        <v>11</v>
      </c>
      <c r="C56" s="17" t="inlineStr">
        <is>
          <t>Quinta</t>
        </is>
      </c>
      <c r="D56" s="18">
        <f>Config!$B$3+(B56-1)*7+INDEX(Listas!$M$3:$M$7,MATCH(C56,Listas!$L$3:$L$7,0))-1</f>
        <v/>
      </c>
      <c r="E56" s="19">
        <f>Config!$B$4</f>
        <v/>
      </c>
      <c r="F56" s="16">
        <f>D56-Config!$B$3+1</f>
        <v/>
      </c>
      <c r="G56" s="17">
        <f>IF(F56&lt;=30,Config!$B$16,IF(F56&lt;=60,Config!$B$17,Config!$B$18))</f>
        <v/>
      </c>
      <c r="H56" s="17" t="inlineStr">
        <is>
          <t>Ideia</t>
        </is>
      </c>
      <c r="I56" s="17" t="inlineStr">
        <is>
          <t>Quintuple Aim</t>
        </is>
      </c>
      <c r="J56" s="17" t="inlineStr">
        <is>
          <t>Por dentro da FAIR HEALTH</t>
        </is>
      </c>
      <c r="K56" s="17" t="inlineStr">
        <is>
          <t>O cuidado começa pela pessoa</t>
        </is>
      </c>
      <c r="L56" s="17" t="inlineStr">
        <is>
          <t>Quem cuida também precisa ser cuidado: o bem-estar do time</t>
        </is>
      </c>
      <c r="M56" s="17" t="inlineStr">
        <is>
          <t>Confiança</t>
        </is>
      </c>
      <c r="N56" s="17" t="inlineStr">
        <is>
          <t>Colaborador + RH</t>
        </is>
      </c>
      <c r="O56" s="17" t="inlineStr">
        <is>
          <t>Visitas ao perfil; comentários</t>
        </is>
      </c>
      <c r="P56" s="17" t="inlineStr">
        <is>
          <t>Reel</t>
        </is>
      </c>
      <c r="Q56" s="17">
        <f>IFERROR(INDEX(Especificações!$G$2:$G$20,MATCH(P56,Especificações!$A$2:$A$20,0)),"")</f>
        <v/>
      </c>
      <c r="R56" s="17" t="inlineStr">
        <is>
          <t>30–45 s</t>
        </is>
      </c>
      <c r="S56" s="17" t="n"/>
      <c r="T56" s="17" t="n"/>
      <c r="U56" s="17" t="n"/>
      <c r="V56" s="17" t="n"/>
      <c r="W56" s="16">
        <f>LEN(V56)</f>
        <v/>
      </c>
      <c r="X56" s="17" t="n"/>
      <c r="Y56" s="17" t="n"/>
      <c r="Z56" s="17" t="inlineStr">
        <is>
          <t>#fairhealth</t>
        </is>
      </c>
      <c r="AA56" s="17" t="n"/>
      <c r="AB56" s="17" t="inlineStr">
        <is>
          <t>Vídeo com profissional</t>
        </is>
      </c>
      <c r="AC56" s="17" t="inlineStr">
        <is>
          <t>gravação da diária mensal</t>
        </is>
      </c>
      <c r="AD56" s="17" t="inlineStr"/>
      <c r="AE56" s="17" t="n"/>
      <c r="AF56" s="17" t="inlineStr">
        <is>
          <t>Não</t>
        </is>
      </c>
      <c r="AG56" s="17" t="inlineStr"/>
      <c r="AH56" s="18">
        <f>IF(AF56="Sim",WORKDAY(D56,-Config!$B$6),"")</f>
        <v/>
      </c>
      <c r="AI56" s="17" t="n"/>
      <c r="AJ56" s="18">
        <f>WORKDAY(D56,-Config!$B$5)</f>
        <v/>
      </c>
      <c r="AK56" s="17" t="n"/>
      <c r="AL56" s="17" t="n"/>
      <c r="AM56" s="17" t="n"/>
      <c r="AN56" s="17" t="inlineStr">
        <is>
          <t>Cross-post do Instagram</t>
        </is>
      </c>
      <c r="AO56" s="17" t="n"/>
      <c r="AP56" s="17" t="n"/>
      <c r="AQ56" s="17" t="n"/>
    </row>
    <row r="57" ht="42" customHeight="1">
      <c r="A57" s="16" t="inlineStr">
        <is>
          <t>FH055</t>
        </is>
      </c>
      <c r="B57" s="16" t="n">
        <v>11</v>
      </c>
      <c r="C57" s="17" t="inlineStr">
        <is>
          <t>Sexta</t>
        </is>
      </c>
      <c r="D57" s="18">
        <f>Config!$B$3+(B57-1)*7+INDEX(Listas!$M$3:$M$7,MATCH(C57,Listas!$L$3:$L$7,0))-1</f>
        <v/>
      </c>
      <c r="E57" s="19">
        <f>Config!$B$4</f>
        <v/>
      </c>
      <c r="F57" s="16">
        <f>D57-Config!$B$3+1</f>
        <v/>
      </c>
      <c r="G57" s="17">
        <f>IF(F57&lt;=30,Config!$B$16,IF(F57&lt;=60,Config!$B$17,Config!$B$18))</f>
        <v/>
      </c>
      <c r="H57" s="17" t="inlineStr">
        <is>
          <t>Ideia</t>
        </is>
      </c>
      <c r="I57" s="17" t="inlineStr">
        <is>
          <t>Quintuple Aim</t>
        </is>
      </c>
      <c r="J57" s="17" t="inlineStr">
        <is>
          <t>Empresas que cuidam</t>
        </is>
      </c>
      <c r="K57" s="17" t="inlineStr">
        <is>
          <t>Saúde dentro das empresas</t>
        </is>
      </c>
      <c r="L57" s="17" t="inlineStr">
        <is>
          <t>Equidade no cuidado corporativo: cuidado que chega a todos os turnos</t>
        </is>
      </c>
      <c r="M57" s="17" t="inlineStr">
        <is>
          <t>Interesse</t>
        </is>
      </c>
      <c r="N57" s="17" t="inlineStr">
        <is>
          <t>RH e liderança</t>
        </is>
      </c>
      <c r="O57" s="17" t="inlineStr">
        <is>
          <t>Salvamentos + envios por alcance</t>
        </is>
      </c>
      <c r="P57" s="17" t="inlineStr">
        <is>
          <t>Carrossel</t>
        </is>
      </c>
      <c r="Q57" s="17">
        <f>IFERROR(INDEX(Especificações!$G$2:$G$20,MATCH(P57,Especificações!$A$2:$A$20,0)),"")</f>
        <v/>
      </c>
      <c r="R57" s="17" t="inlineStr">
        <is>
          <t>8 slides</t>
        </is>
      </c>
      <c r="S57" s="17" t="n"/>
      <c r="T57" s="17" t="n"/>
      <c r="U57" s="17" t="n"/>
      <c r="V57" s="17" t="n"/>
      <c r="W57" s="16">
        <f>LEN(V57)</f>
        <v/>
      </c>
      <c r="X57" s="17" t="n"/>
      <c r="Y57" s="17" t="n"/>
      <c r="Z57" s="17" t="inlineStr">
        <is>
          <t>#fairhealth</t>
        </is>
      </c>
      <c r="AA57" s="17" t="n"/>
      <c r="AB57" s="17" t="inlineStr">
        <is>
          <t>Institucional</t>
        </is>
      </c>
      <c r="AC57" s="17" t="inlineStr">
        <is>
          <t>arte + C1/B</t>
        </is>
      </c>
      <c r="AD57" s="17" t="inlineStr"/>
      <c r="AE57" s="17" t="n"/>
      <c r="AF57" s="17" t="inlineStr">
        <is>
          <t>Não</t>
        </is>
      </c>
      <c r="AG57" s="17" t="inlineStr"/>
      <c r="AH57" s="18">
        <f>IF(AF57="Sim",WORKDAY(D57,-Config!$B$6),"")</f>
        <v/>
      </c>
      <c r="AI57" s="17" t="n"/>
      <c r="AJ57" s="18">
        <f>WORKDAY(D57,-Config!$B$5)</f>
        <v/>
      </c>
      <c r="AK57" s="17" t="n"/>
      <c r="AL57" s="17" t="n"/>
      <c r="AM57" s="17" t="n"/>
      <c r="AN57" s="17" t="inlineStr">
        <is>
          <t>Cross-post do Instagram</t>
        </is>
      </c>
      <c r="AO57" s="17" t="n"/>
      <c r="AP57" s="17" t="n"/>
      <c r="AQ57" s="17" t="n"/>
    </row>
    <row r="58" ht="42" customHeight="1">
      <c r="A58" s="20" t="inlineStr">
        <is>
          <t>FH056</t>
        </is>
      </c>
      <c r="B58" s="20" t="n">
        <v>12</v>
      </c>
      <c r="C58" s="21" t="inlineStr">
        <is>
          <t>Segunda</t>
        </is>
      </c>
      <c r="D58" s="22">
        <f>Config!$B$3+(B58-1)*7+INDEX(Listas!$M$3:$M$7,MATCH(C58,Listas!$L$3:$L$7,0))-1</f>
        <v/>
      </c>
      <c r="E58" s="23">
        <f>Config!$B$4</f>
        <v/>
      </c>
      <c r="F58" s="20">
        <f>D58-Config!$B$3+1</f>
        <v/>
      </c>
      <c r="G58" s="21">
        <f>IF(F58&lt;=30,Config!$B$16,IF(F58&lt;=60,Config!$B$17,Config!$B$18))</f>
        <v/>
      </c>
      <c r="H58" s="21" t="inlineStr">
        <is>
          <t>Ideia</t>
        </is>
      </c>
      <c r="I58" s="21" t="inlineStr">
        <is>
          <t>Resultados</t>
        </is>
      </c>
      <c r="J58" s="21" t="inlineStr">
        <is>
          <t>Mito ou Evidência?</t>
        </is>
      </c>
      <c r="K58" s="21" t="inlineStr">
        <is>
          <t>Saúde dentro das empresas</t>
        </is>
      </c>
      <c r="L58" s="21" t="inlineStr">
        <is>
          <t>Mito ou Evidência: "programa de saúde não dá retorno"</t>
        </is>
      </c>
      <c r="M58" s="21" t="inlineStr">
        <is>
          <t>Interesse</t>
        </is>
      </c>
      <c r="N58" s="21" t="inlineStr">
        <is>
          <t>RH e liderança</t>
        </is>
      </c>
      <c r="O58" s="21" t="inlineStr">
        <is>
          <t>Salvamentos + envios por alcance</t>
        </is>
      </c>
      <c r="P58" s="21" t="inlineStr">
        <is>
          <t>Carrossel</t>
        </is>
      </c>
      <c r="Q58" s="21">
        <f>IFERROR(INDEX(Especificações!$G$2:$G$20,MATCH(P58,Especificações!$A$2:$A$20,0)),"")</f>
        <v/>
      </c>
      <c r="R58" s="21" t="inlineStr">
        <is>
          <t>8 slides</t>
        </is>
      </c>
      <c r="S58" s="21" t="n"/>
      <c r="T58" s="21" t="n"/>
      <c r="U58" s="21" t="n"/>
      <c r="V58" s="21" t="n"/>
      <c r="W58" s="20">
        <f>LEN(V58)</f>
        <v/>
      </c>
      <c r="X58" s="21" t="n"/>
      <c r="Y58" s="21" t="n"/>
      <c r="Z58" s="21" t="inlineStr">
        <is>
          <t>#fairhealth</t>
        </is>
      </c>
      <c r="AA58" s="21" t="n"/>
      <c r="AB58" s="21" t="inlineStr">
        <is>
          <t>Editorial</t>
        </is>
      </c>
      <c r="AC58" s="21" t="inlineStr">
        <is>
          <t>D (pilar da semana) ou arte</t>
        </is>
      </c>
      <c r="AD58" s="21" t="inlineStr"/>
      <c r="AE58" s="21" t="n"/>
      <c r="AF58" s="21" t="inlineStr">
        <is>
          <t>Sim</t>
        </is>
      </c>
      <c r="AG58" s="21" t="inlineStr">
        <is>
          <t>Dr. Ronald / Dra. Floriana</t>
        </is>
      </c>
      <c r="AH58" s="22">
        <f>IF(AF58="Sim",WORKDAY(D58,-Config!$B$6),"")</f>
        <v/>
      </c>
      <c r="AI58" s="21" t="n"/>
      <c r="AJ58" s="22">
        <f>WORKDAY(D58,-Config!$B$5)</f>
        <v/>
      </c>
      <c r="AK58" s="21" t="n"/>
      <c r="AL58" s="21" t="n"/>
      <c r="AM58" s="21" t="n"/>
      <c r="AN58" s="21" t="inlineStr">
        <is>
          <t>Cross-post do Instagram</t>
        </is>
      </c>
      <c r="AO58" s="21" t="n"/>
      <c r="AP58" s="21" t="n"/>
      <c r="AQ58" s="21" t="n"/>
    </row>
    <row r="59" ht="42" customHeight="1">
      <c r="A59" s="20" t="inlineStr">
        <is>
          <t>FH057</t>
        </is>
      </c>
      <c r="B59" s="20" t="n">
        <v>12</v>
      </c>
      <c r="C59" s="21" t="inlineStr">
        <is>
          <t>Terça</t>
        </is>
      </c>
      <c r="D59" s="22">
        <f>Config!$B$3+(B59-1)*7+INDEX(Listas!$M$3:$M$7,MATCH(C59,Listas!$L$3:$L$7,0))-1</f>
        <v/>
      </c>
      <c r="E59" s="23">
        <f>Config!$B$4</f>
        <v/>
      </c>
      <c r="F59" s="20">
        <f>D59-Config!$B$3+1</f>
        <v/>
      </c>
      <c r="G59" s="21">
        <f>IF(F59&lt;=30,Config!$B$16,IF(F59&lt;=60,Config!$B$17,Config!$B$18))</f>
        <v/>
      </c>
      <c r="H59" s="21" t="inlineStr">
        <is>
          <t>Ideia</t>
        </is>
      </c>
      <c r="I59" s="21" t="inlineStr">
        <is>
          <t>Resultados</t>
        </is>
      </c>
      <c r="J59" s="21" t="inlineStr">
        <is>
          <t>Cuidado em números</t>
        </is>
      </c>
      <c r="K59" s="21" t="inlineStr">
        <is>
          <t>Saúde dentro das empresas</t>
        </is>
      </c>
      <c r="L59" s="21" t="inlineStr">
        <is>
          <t>Absenteísmo e custos: o que os estudos mostram (HBR 2022, SHRM 2023)</t>
        </is>
      </c>
      <c r="M59" s="21" t="inlineStr">
        <is>
          <t>Descoberta</t>
        </is>
      </c>
      <c r="N59" s="21" t="inlineStr">
        <is>
          <t>RH e liderança</t>
        </is>
      </c>
      <c r="O59" s="21" t="inlineStr">
        <is>
          <t>Alcance em não seguidores; retenção</t>
        </is>
      </c>
      <c r="P59" s="21" t="inlineStr">
        <is>
          <t>Reel</t>
        </is>
      </c>
      <c r="Q59" s="21">
        <f>IFERROR(INDEX(Especificações!$G$2:$G$20,MATCH(P59,Especificações!$A$2:$A$20,0)),"")</f>
        <v/>
      </c>
      <c r="R59" s="21" t="inlineStr">
        <is>
          <t>30–45 s</t>
        </is>
      </c>
      <c r="S59" s="21" t="n"/>
      <c r="T59" s="21" t="n"/>
      <c r="U59" s="21" t="n"/>
      <c r="V59" s="21" t="n"/>
      <c r="W59" s="20">
        <f>LEN(V59)</f>
        <v/>
      </c>
      <c r="X59" s="21" t="n"/>
      <c r="Y59" s="21" t="n"/>
      <c r="Z59" s="21" t="inlineStr">
        <is>
          <t>#fairhealth</t>
        </is>
      </c>
      <c r="AA59" s="21" t="n"/>
      <c r="AB59" s="21" t="inlineStr">
        <is>
          <t>Vídeo com profissional</t>
        </is>
      </c>
      <c r="AC59" s="21" t="inlineStr">
        <is>
          <t>gravação da diária mensal</t>
        </is>
      </c>
      <c r="AD59" s="21" t="inlineStr"/>
      <c r="AE59" s="21" t="n"/>
      <c r="AF59" s="21" t="inlineStr">
        <is>
          <t>Sim</t>
        </is>
      </c>
      <c r="AG59" s="21" t="inlineStr">
        <is>
          <t>Dr. Ronald / Dra. Floriana</t>
        </is>
      </c>
      <c r="AH59" s="22">
        <f>IF(AF59="Sim",WORKDAY(D59,-Config!$B$6),"")</f>
        <v/>
      </c>
      <c r="AI59" s="21" t="n"/>
      <c r="AJ59" s="22">
        <f>WORKDAY(D59,-Config!$B$5)</f>
        <v/>
      </c>
      <c r="AK59" s="21" t="n"/>
      <c r="AL59" s="21" t="n"/>
      <c r="AM59" s="21" t="n"/>
      <c r="AN59" s="21" t="inlineStr">
        <is>
          <t>Cross-post do Instagram</t>
        </is>
      </c>
      <c r="AO59" s="21" t="n"/>
      <c r="AP59" s="21" t="n"/>
      <c r="AQ59" s="21" t="n"/>
    </row>
    <row r="60" ht="42" customHeight="1">
      <c r="A60" s="20" t="inlineStr">
        <is>
          <t>FH058</t>
        </is>
      </c>
      <c r="B60" s="20" t="n">
        <v>12</v>
      </c>
      <c r="C60" s="21" t="inlineStr">
        <is>
          <t>Quarta</t>
        </is>
      </c>
      <c r="D60" s="22">
        <f>Config!$B$3+(B60-1)*7+INDEX(Listas!$M$3:$M$7,MATCH(C60,Listas!$L$3:$L$7,0))-1</f>
        <v/>
      </c>
      <c r="E60" s="23">
        <f>Config!$B$4</f>
        <v/>
      </c>
      <c r="F60" s="20">
        <f>D60-Config!$B$3+1</f>
        <v/>
      </c>
      <c r="G60" s="21">
        <f>IF(F60&lt;=30,Config!$B$16,IF(F60&lt;=60,Config!$B$17,Config!$B$18))</f>
        <v/>
      </c>
      <c r="H60" s="21" t="inlineStr">
        <is>
          <t>Ideia</t>
        </is>
      </c>
      <c r="I60" s="21" t="inlineStr">
        <is>
          <t>Resultados</t>
        </is>
      </c>
      <c r="J60" s="21" t="inlineStr">
        <is>
          <t>Cuidado em números</t>
        </is>
      </c>
      <c r="K60" s="21" t="inlineStr">
        <is>
          <t>O cuidado começa pela pessoa</t>
        </is>
      </c>
      <c r="L60" s="21" t="inlineStr">
        <is>
          <t>Depoimentos em texto: o cuidado na voz de quem é atendido</t>
        </is>
      </c>
      <c r="M60" s="21" t="inlineStr">
        <is>
          <t>Confiança</t>
        </is>
      </c>
      <c r="N60" s="21" t="inlineStr">
        <is>
          <t>Colaborador + RH</t>
        </is>
      </c>
      <c r="O60" s="21" t="inlineStr">
        <is>
          <t>Visitas ao perfil; comentários</t>
        </is>
      </c>
      <c r="P60" s="21" t="inlineStr">
        <is>
          <t>Carrossel</t>
        </is>
      </c>
      <c r="Q60" s="21">
        <f>IFERROR(INDEX(Especificações!$G$2:$G$20,MATCH(P60,Especificações!$A$2:$A$20,0)),"")</f>
        <v/>
      </c>
      <c r="R60" s="21" t="inlineStr">
        <is>
          <t>8 slides</t>
        </is>
      </c>
      <c r="S60" s="21" t="n"/>
      <c r="T60" s="21" t="n"/>
      <c r="U60" s="21" t="n"/>
      <c r="V60" s="21" t="n"/>
      <c r="W60" s="20">
        <f>LEN(V60)</f>
        <v/>
      </c>
      <c r="X60" s="21" t="n"/>
      <c r="Y60" s="21" t="n"/>
      <c r="Z60" s="21" t="inlineStr">
        <is>
          <t>#fairhealth</t>
        </is>
      </c>
      <c r="AA60" s="21" t="n"/>
      <c r="AB60" s="21" t="inlineStr">
        <is>
          <t>Institucional</t>
        </is>
      </c>
      <c r="AC60" s="21" t="inlineStr">
        <is>
          <t>arte + C1/B</t>
        </is>
      </c>
      <c r="AD60" s="21" t="inlineStr"/>
      <c r="AE60" s="21" t="n"/>
      <c r="AF60" s="21" t="inlineStr">
        <is>
          <t>Sim</t>
        </is>
      </c>
      <c r="AG60" s="21" t="inlineStr">
        <is>
          <t>Dr. Ronald / Dra. Floriana</t>
        </is>
      </c>
      <c r="AH60" s="22">
        <f>IF(AF60="Sim",WORKDAY(D60,-Config!$B$6),"")</f>
        <v/>
      </c>
      <c r="AI60" s="21" t="n"/>
      <c r="AJ60" s="22">
        <f>WORKDAY(D60,-Config!$B$5)</f>
        <v/>
      </c>
      <c r="AK60" s="21" t="n"/>
      <c r="AL60" s="21" t="n"/>
      <c r="AM60" s="21" t="n"/>
      <c r="AN60" s="21" t="inlineStr">
        <is>
          <t>Cross-post do Instagram</t>
        </is>
      </c>
      <c r="AO60" s="21" t="n"/>
      <c r="AP60" s="21" t="n"/>
      <c r="AQ60" s="21" t="n"/>
    </row>
    <row r="61" ht="42" customHeight="1">
      <c r="A61" s="20" t="inlineStr">
        <is>
          <t>FH059</t>
        </is>
      </c>
      <c r="B61" s="20" t="n">
        <v>12</v>
      </c>
      <c r="C61" s="21" t="inlineStr">
        <is>
          <t>Quinta</t>
        </is>
      </c>
      <c r="D61" s="22">
        <f>Config!$B$3+(B61-1)*7+INDEX(Listas!$M$3:$M$7,MATCH(C61,Listas!$L$3:$L$7,0))-1</f>
        <v/>
      </c>
      <c r="E61" s="23">
        <f>Config!$B$4</f>
        <v/>
      </c>
      <c r="F61" s="20">
        <f>D61-Config!$B$3+1</f>
        <v/>
      </c>
      <c r="G61" s="21">
        <f>IF(F61&lt;=30,Config!$B$16,IF(F61&lt;=60,Config!$B$17,Config!$B$18))</f>
        <v/>
      </c>
      <c r="H61" s="21" t="inlineStr">
        <is>
          <t>Ideia</t>
        </is>
      </c>
      <c r="I61" s="21" t="inlineStr">
        <is>
          <t>Resultados</t>
        </is>
      </c>
      <c r="J61" s="21" t="inlineStr">
        <is>
          <t>Por dentro da FAIR HEALTH</t>
        </is>
      </c>
      <c r="K61" s="21" t="inlineStr">
        <is>
          <t>O cuidado começa pela pessoa</t>
        </is>
      </c>
      <c r="L61" s="21" t="inlineStr">
        <is>
          <t>"Ela não gosta de gravar vídeo. Gravou um mesmo assim." (trechos em cards)</t>
        </is>
      </c>
      <c r="M61" s="21" t="inlineStr">
        <is>
          <t>Confiança</t>
        </is>
      </c>
      <c r="N61" s="21" t="inlineStr">
        <is>
          <t>Colaborador + RH</t>
        </is>
      </c>
      <c r="O61" s="21" t="inlineStr">
        <is>
          <t>Visitas ao perfil; comentários</t>
        </is>
      </c>
      <c r="P61" s="21" t="inlineStr">
        <is>
          <t>Reel</t>
        </is>
      </c>
      <c r="Q61" s="21">
        <f>IFERROR(INDEX(Especificações!$G$2:$G$20,MATCH(P61,Especificações!$A$2:$A$20,0)),"")</f>
        <v/>
      </c>
      <c r="R61" s="21" t="inlineStr">
        <is>
          <t>30–45 s</t>
        </is>
      </c>
      <c r="S61" s="21" t="n"/>
      <c r="T61" s="21" t="n"/>
      <c r="U61" s="21" t="n"/>
      <c r="V61" s="21" t="n"/>
      <c r="W61" s="20">
        <f>LEN(V61)</f>
        <v/>
      </c>
      <c r="X61" s="21" t="n"/>
      <c r="Y61" s="21" t="n"/>
      <c r="Z61" s="21" t="inlineStr">
        <is>
          <t>#fairhealth</t>
        </is>
      </c>
      <c r="AA61" s="21" t="n"/>
      <c r="AB61" s="21" t="inlineStr">
        <is>
          <t>Editorial</t>
        </is>
      </c>
      <c r="AC61" s="21" t="inlineStr">
        <is>
          <t>D (pilar da semana) ou arte</t>
        </is>
      </c>
      <c r="AD61" s="21" t="inlineStr"/>
      <c r="AE61" s="21" t="n"/>
      <c r="AF61" s="21" t="inlineStr">
        <is>
          <t>Sim</t>
        </is>
      </c>
      <c r="AG61" s="21" t="inlineStr">
        <is>
          <t>Dr. Ronald / Dra. Floriana</t>
        </is>
      </c>
      <c r="AH61" s="22">
        <f>IF(AF61="Sim",WORKDAY(D61,-Config!$B$6),"")</f>
        <v/>
      </c>
      <c r="AI61" s="21" t="n"/>
      <c r="AJ61" s="22">
        <f>WORKDAY(D61,-Config!$B$5)</f>
        <v/>
      </c>
      <c r="AK61" s="21" t="n"/>
      <c r="AL61" s="21" t="n"/>
      <c r="AM61" s="21" t="n"/>
      <c r="AN61" s="21" t="inlineStr">
        <is>
          <t>Cross-post do Instagram</t>
        </is>
      </c>
      <c r="AO61" s="21" t="n"/>
      <c r="AP61" s="21" t="n"/>
      <c r="AQ61" s="21" t="n"/>
    </row>
    <row r="62" ht="42" customHeight="1">
      <c r="A62" s="20" t="inlineStr">
        <is>
          <t>FH060</t>
        </is>
      </c>
      <c r="B62" s="20" t="n">
        <v>12</v>
      </c>
      <c r="C62" s="21" t="inlineStr">
        <is>
          <t>Sexta</t>
        </is>
      </c>
      <c r="D62" s="22">
        <f>Config!$B$3+(B62-1)*7+INDEX(Listas!$M$3:$M$7,MATCH(C62,Listas!$L$3:$L$7,0))-1</f>
        <v/>
      </c>
      <c r="E62" s="23">
        <f>Config!$B$4</f>
        <v/>
      </c>
      <c r="F62" s="20">
        <f>D62-Config!$B$3+1</f>
        <v/>
      </c>
      <c r="G62" s="21">
        <f>IF(F62&lt;=30,Config!$B$16,IF(F62&lt;=60,Config!$B$17,Config!$B$18))</f>
        <v/>
      </c>
      <c r="H62" s="21" t="inlineStr">
        <is>
          <t>Ideia</t>
        </is>
      </c>
      <c r="I62" s="21" t="inlineStr">
        <is>
          <t>Resultados</t>
        </is>
      </c>
      <c r="J62" s="21" t="inlineStr">
        <is>
          <t>Empresas que cuidam</t>
        </is>
      </c>
      <c r="K62" s="21" t="inlineStr">
        <is>
          <t>Saúde dentro das empresas</t>
        </is>
      </c>
      <c r="L62" s="21" t="inlineStr">
        <is>
          <t>Indicadores que o RH deve acompanhar: absenteísmo, sinistralidade, adesão</t>
        </is>
      </c>
      <c r="M62" s="21" t="inlineStr">
        <is>
          <t>Interesse</t>
        </is>
      </c>
      <c r="N62" s="21" t="inlineStr">
        <is>
          <t>RH e liderança</t>
        </is>
      </c>
      <c r="O62" s="21" t="inlineStr">
        <is>
          <t>Salvamentos + envios por alcance</t>
        </is>
      </c>
      <c r="P62" s="21" t="inlineStr">
        <is>
          <t>Carrossel</t>
        </is>
      </c>
      <c r="Q62" s="21">
        <f>IFERROR(INDEX(Especificações!$G$2:$G$20,MATCH(P62,Especificações!$A$2:$A$20,0)),"")</f>
        <v/>
      </c>
      <c r="R62" s="21" t="inlineStr">
        <is>
          <t>8 slides</t>
        </is>
      </c>
      <c r="S62" s="21" t="n"/>
      <c r="T62" s="21" t="n"/>
      <c r="U62" s="21" t="n"/>
      <c r="V62" s="21" t="n"/>
      <c r="W62" s="20">
        <f>LEN(V62)</f>
        <v/>
      </c>
      <c r="X62" s="21" t="n"/>
      <c r="Y62" s="21" t="n"/>
      <c r="Z62" s="21" t="inlineStr">
        <is>
          <t>#fairhealth</t>
        </is>
      </c>
      <c r="AA62" s="21" t="n"/>
      <c r="AB62" s="21" t="inlineStr">
        <is>
          <t>Institucional</t>
        </is>
      </c>
      <c r="AC62" s="21" t="inlineStr">
        <is>
          <t>arte + C1/B</t>
        </is>
      </c>
      <c r="AD62" s="21" t="inlineStr"/>
      <c r="AE62" s="21" t="n"/>
      <c r="AF62" s="21" t="inlineStr">
        <is>
          <t>Não</t>
        </is>
      </c>
      <c r="AG62" s="21" t="inlineStr"/>
      <c r="AH62" s="22">
        <f>IF(AF62="Sim",WORKDAY(D62,-Config!$B$6),"")</f>
        <v/>
      </c>
      <c r="AI62" s="21" t="n"/>
      <c r="AJ62" s="22">
        <f>WORKDAY(D62,-Config!$B$5)</f>
        <v/>
      </c>
      <c r="AK62" s="21" t="n"/>
      <c r="AL62" s="21" t="n"/>
      <c r="AM62" s="21" t="n"/>
      <c r="AN62" s="21" t="inlineStr">
        <is>
          <t>Cross-post do Instagram</t>
        </is>
      </c>
      <c r="AO62" s="21" t="n"/>
      <c r="AP62" s="21" t="n"/>
      <c r="AQ62" s="21" t="n"/>
    </row>
    <row r="63" ht="42" customHeight="1">
      <c r="A63" s="16" t="inlineStr">
        <is>
          <t>FH061</t>
        </is>
      </c>
      <c r="B63" s="16" t="n">
        <v>13</v>
      </c>
      <c r="C63" s="17" t="inlineStr">
        <is>
          <t>Segunda</t>
        </is>
      </c>
      <c r="D63" s="18">
        <f>Config!$B$3+(B63-1)*7+INDEX(Listas!$M$3:$M$7,MATCH(C63,Listas!$L$3:$L$7,0))-1</f>
        <v/>
      </c>
      <c r="E63" s="19">
        <f>Config!$B$4</f>
        <v/>
      </c>
      <c r="F63" s="16">
        <f>D63-Config!$B$3+1</f>
        <v/>
      </c>
      <c r="G63" s="17">
        <f>IF(F63&lt;=30,Config!$B$16,IF(F63&lt;=60,Config!$B$17,Config!$B$18))</f>
        <v/>
      </c>
      <c r="H63" s="17" t="inlineStr">
        <is>
          <t>Ideia</t>
        </is>
      </c>
      <c r="I63" s="17" t="inlineStr">
        <is>
          <t>FAIR HEALTH para empresas</t>
        </is>
      </c>
      <c r="J63" s="17" t="inlineStr">
        <is>
          <t>O que importa para você?</t>
        </is>
      </c>
      <c r="K63" s="17" t="inlineStr">
        <is>
          <t>Saúde dentro das empresas</t>
        </is>
      </c>
      <c r="L63" s="17" t="inlineStr">
        <is>
          <t>O que importa para a sua empresa? Síntese da solução</t>
        </is>
      </c>
      <c r="M63" s="17" t="inlineStr">
        <is>
          <t>Conversão</t>
        </is>
      </c>
      <c r="N63" s="17" t="inlineStr">
        <is>
          <t>RH e liderança</t>
        </is>
      </c>
      <c r="O63" s="17" t="inlineStr">
        <is>
          <t>Comentários CUIDADO; DMs; diagnósticos</t>
        </is>
      </c>
      <c r="P63" s="17" t="inlineStr">
        <is>
          <t>Carrossel</t>
        </is>
      </c>
      <c r="Q63" s="17">
        <f>IFERROR(INDEX(Especificações!$G$2:$G$20,MATCH(P63,Especificações!$A$2:$A$20,0)),"")</f>
        <v/>
      </c>
      <c r="R63" s="17" t="inlineStr">
        <is>
          <t>8 slides</t>
        </is>
      </c>
      <c r="S63" s="17" t="n"/>
      <c r="T63" s="17" t="n"/>
      <c r="U63" s="17" t="n"/>
      <c r="V63" s="17" t="n"/>
      <c r="W63" s="16">
        <f>LEN(V63)</f>
        <v/>
      </c>
      <c r="X63" s="17" t="n"/>
      <c r="Y63" s="17" t="n"/>
      <c r="Z63" s="17" t="inlineStr">
        <is>
          <t>#fairhealth</t>
        </is>
      </c>
      <c r="AA63" s="17" t="n"/>
      <c r="AB63" s="17" t="inlineStr">
        <is>
          <t>Institucional</t>
        </is>
      </c>
      <c r="AC63" s="17" t="inlineStr">
        <is>
          <t>arte + C1/B</t>
        </is>
      </c>
      <c r="AD63" s="17" t="inlineStr"/>
      <c r="AE63" s="17" t="n"/>
      <c r="AF63" s="17" t="inlineStr">
        <is>
          <t>Não</t>
        </is>
      </c>
      <c r="AG63" s="17" t="inlineStr"/>
      <c r="AH63" s="18">
        <f>IF(AF63="Sim",WORKDAY(D63,-Config!$B$6),"")</f>
        <v/>
      </c>
      <c r="AI63" s="17" t="n"/>
      <c r="AJ63" s="18">
        <f>WORKDAY(D63,-Config!$B$5)</f>
        <v/>
      </c>
      <c r="AK63" s="17" t="n"/>
      <c r="AL63" s="17" t="n"/>
      <c r="AM63" s="17" t="n"/>
      <c r="AN63" s="17" t="inlineStr">
        <is>
          <t>Cross-post do Instagram</t>
        </is>
      </c>
      <c r="AO63" s="17" t="n"/>
      <c r="AP63" s="17" t="n"/>
      <c r="AQ63" s="17" t="n"/>
    </row>
    <row r="64" ht="42" customHeight="1">
      <c r="A64" s="16" t="inlineStr">
        <is>
          <t>FH062</t>
        </is>
      </c>
      <c r="B64" s="16" t="n">
        <v>13</v>
      </c>
      <c r="C64" s="17" t="inlineStr">
        <is>
          <t>Terça</t>
        </is>
      </c>
      <c r="D64" s="18">
        <f>Config!$B$3+(B64-1)*7+INDEX(Listas!$M$3:$M$7,MATCH(C64,Listas!$L$3:$L$7,0))-1</f>
        <v/>
      </c>
      <c r="E64" s="19">
        <f>Config!$B$4</f>
        <v/>
      </c>
      <c r="F64" s="16">
        <f>D64-Config!$B$3+1</f>
        <v/>
      </c>
      <c r="G64" s="17">
        <f>IF(F64&lt;=30,Config!$B$16,IF(F64&lt;=60,Config!$B$17,Config!$B$18))</f>
        <v/>
      </c>
      <c r="H64" s="17" t="inlineStr">
        <is>
          <t>Ideia</t>
        </is>
      </c>
      <c r="I64" s="17" t="inlineStr">
        <is>
          <t>FAIR HEALTH para empresas</t>
        </is>
      </c>
      <c r="J64" s="17" t="inlineStr">
        <is>
          <t>1 Minuto de Cuidado</t>
        </is>
      </c>
      <c r="K64" s="17" t="inlineStr">
        <is>
          <t>Saúde dentro das empresas</t>
        </is>
      </c>
      <c r="L64" s="17" t="inlineStr">
        <is>
          <t>Liderança: por que a FAIR HEALTH existe (convite)</t>
        </is>
      </c>
      <c r="M64" s="17" t="inlineStr">
        <is>
          <t>Conversão</t>
        </is>
      </c>
      <c r="N64" s="17" t="inlineStr">
        <is>
          <t>RH e liderança</t>
        </is>
      </c>
      <c r="O64" s="17" t="inlineStr">
        <is>
          <t>Comentários CUIDADO; DMs; diagnósticos</t>
        </is>
      </c>
      <c r="P64" s="17" t="inlineStr">
        <is>
          <t>Reel</t>
        </is>
      </c>
      <c r="Q64" s="17">
        <f>IFERROR(INDEX(Especificações!$G$2:$G$20,MATCH(P64,Especificações!$A$2:$A$20,0)),"")</f>
        <v/>
      </c>
      <c r="R64" s="17" t="inlineStr">
        <is>
          <t>30–45 s</t>
        </is>
      </c>
      <c r="S64" s="17" t="n"/>
      <c r="T64" s="17" t="n"/>
      <c r="U64" s="17" t="n"/>
      <c r="V64" s="17" t="n"/>
      <c r="W64" s="16">
        <f>LEN(V64)</f>
        <v/>
      </c>
      <c r="X64" s="17" t="n"/>
      <c r="Y64" s="17" t="n"/>
      <c r="Z64" s="17" t="inlineStr">
        <is>
          <t>#fairhealth</t>
        </is>
      </c>
      <c r="AA64" s="17" t="n"/>
      <c r="AB64" s="17" t="inlineStr">
        <is>
          <t>Vídeo com profissional</t>
        </is>
      </c>
      <c r="AC64" s="17" t="inlineStr">
        <is>
          <t>gravação da diária mensal</t>
        </is>
      </c>
      <c r="AD64" s="17" t="inlineStr"/>
      <c r="AE64" s="17" t="n"/>
      <c r="AF64" s="17" t="inlineStr">
        <is>
          <t>Não</t>
        </is>
      </c>
      <c r="AG64" s="17" t="inlineStr"/>
      <c r="AH64" s="18">
        <f>IF(AF64="Sim",WORKDAY(D64,-Config!$B$6),"")</f>
        <v/>
      </c>
      <c r="AI64" s="17" t="n"/>
      <c r="AJ64" s="18">
        <f>WORKDAY(D64,-Config!$B$5)</f>
        <v/>
      </c>
      <c r="AK64" s="17" t="n"/>
      <c r="AL64" s="17" t="n"/>
      <c r="AM64" s="17" t="n"/>
      <c r="AN64" s="17" t="inlineStr">
        <is>
          <t>Cross-post do Instagram</t>
        </is>
      </c>
      <c r="AO64" s="17" t="n"/>
      <c r="AP64" s="17" t="n"/>
      <c r="AQ64" s="17" t="n"/>
    </row>
    <row r="65" ht="42" customHeight="1">
      <c r="A65" s="16" t="inlineStr">
        <is>
          <t>FH063</t>
        </is>
      </c>
      <c r="B65" s="16" t="n">
        <v>13</v>
      </c>
      <c r="C65" s="17" t="inlineStr">
        <is>
          <t>Quarta</t>
        </is>
      </c>
      <c r="D65" s="18">
        <f>Config!$B$3+(B65-1)*7+INDEX(Listas!$M$3:$M$7,MATCH(C65,Listas!$L$3:$L$7,0))-1</f>
        <v/>
      </c>
      <c r="E65" s="19">
        <f>Config!$B$4</f>
        <v/>
      </c>
      <c r="F65" s="16">
        <f>D65-Config!$B$3+1</f>
        <v/>
      </c>
      <c r="G65" s="17">
        <f>IF(F65&lt;=30,Config!$B$16,IF(F65&lt;=60,Config!$B$17,Config!$B$18))</f>
        <v/>
      </c>
      <c r="H65" s="17" t="inlineStr">
        <is>
          <t>Ideia</t>
        </is>
      </c>
      <c r="I65" s="17" t="inlineStr">
        <is>
          <t>FAIR HEALTH para empresas</t>
        </is>
      </c>
      <c r="J65" s="17" t="inlineStr">
        <is>
          <t>Empresas que cuidam</t>
        </is>
      </c>
      <c r="K65" s="17" t="inlineStr">
        <is>
          <t>É assim que a FAIR HEALTH cuida</t>
        </is>
      </c>
      <c r="L65" s="17" t="inlineStr">
        <is>
          <t>Como começar: diagnóstico → proposta → implementação</t>
        </is>
      </c>
      <c r="M65" s="17" t="inlineStr">
        <is>
          <t>Conversão</t>
        </is>
      </c>
      <c r="N65" s="17" t="inlineStr">
        <is>
          <t>RH e liderança</t>
        </is>
      </c>
      <c r="O65" s="17" t="inlineStr">
        <is>
          <t>Comentários CUIDADO; DMs; diagnósticos</t>
        </is>
      </c>
      <c r="P65" s="17" t="inlineStr">
        <is>
          <t>Carrossel</t>
        </is>
      </c>
      <c r="Q65" s="17">
        <f>IFERROR(INDEX(Especificações!$G$2:$G$20,MATCH(P65,Especificações!$A$2:$A$20,0)),"")</f>
        <v/>
      </c>
      <c r="R65" s="17" t="inlineStr">
        <is>
          <t>8 slides</t>
        </is>
      </c>
      <c r="S65" s="17" t="n"/>
      <c r="T65" s="17" t="n"/>
      <c r="U65" s="17" t="n"/>
      <c r="V65" s="17" t="n"/>
      <c r="W65" s="16">
        <f>LEN(V65)</f>
        <v/>
      </c>
      <c r="X65" s="17" t="n"/>
      <c r="Y65" s="17" t="n"/>
      <c r="Z65" s="17" t="inlineStr">
        <is>
          <t>#fairhealth</t>
        </is>
      </c>
      <c r="AA65" s="17" t="n"/>
      <c r="AB65" s="17" t="inlineStr">
        <is>
          <t>Institucional</t>
        </is>
      </c>
      <c r="AC65" s="17" t="inlineStr">
        <is>
          <t>arte + C1/B</t>
        </is>
      </c>
      <c r="AD65" s="17" t="inlineStr"/>
      <c r="AE65" s="17" t="n"/>
      <c r="AF65" s="17" t="inlineStr">
        <is>
          <t>Não</t>
        </is>
      </c>
      <c r="AG65" s="17" t="inlineStr"/>
      <c r="AH65" s="18">
        <f>IF(AF65="Sim",WORKDAY(D65,-Config!$B$6),"")</f>
        <v/>
      </c>
      <c r="AI65" s="17" t="n"/>
      <c r="AJ65" s="18">
        <f>WORKDAY(D65,-Config!$B$5)</f>
        <v/>
      </c>
      <c r="AK65" s="17" t="n"/>
      <c r="AL65" s="17" t="n"/>
      <c r="AM65" s="17" t="n"/>
      <c r="AN65" s="17" t="inlineStr">
        <is>
          <t>Cross-post do Instagram</t>
        </is>
      </c>
      <c r="AO65" s="17" t="n"/>
      <c r="AP65" s="17" t="n"/>
      <c r="AQ65" s="17" t="n"/>
    </row>
    <row r="66" ht="42" customHeight="1">
      <c r="A66" s="16" t="inlineStr">
        <is>
          <t>FH064</t>
        </is>
      </c>
      <c r="B66" s="16" t="n">
        <v>13</v>
      </c>
      <c r="C66" s="17" t="inlineStr">
        <is>
          <t>Quinta</t>
        </is>
      </c>
      <c r="D66" s="18">
        <f>Config!$B$3+(B66-1)*7+INDEX(Listas!$M$3:$M$7,MATCH(C66,Listas!$L$3:$L$7,0))-1</f>
        <v/>
      </c>
      <c r="E66" s="19">
        <f>Config!$B$4</f>
        <v/>
      </c>
      <c r="F66" s="16">
        <f>D66-Config!$B$3+1</f>
        <v/>
      </c>
      <c r="G66" s="17">
        <f>IF(F66&lt;=30,Config!$B$16,IF(F66&lt;=60,Config!$B$17,Config!$B$18))</f>
        <v/>
      </c>
      <c r="H66" s="17" t="inlineStr">
        <is>
          <t>Ideia</t>
        </is>
      </c>
      <c r="I66" s="17" t="inlineStr">
        <is>
          <t>FAIR HEALTH para empresas</t>
        </is>
      </c>
      <c r="J66" s="17" t="inlineStr">
        <is>
          <t>Por dentro da FAIR HEALTH</t>
        </is>
      </c>
      <c r="K66" s="17" t="inlineStr">
        <is>
          <t>É assim que a FAIR HEALTH cuida</t>
        </is>
      </c>
      <c r="L66" s="17" t="inlineStr">
        <is>
          <t>Implementação em 3 passos: onboarding e primeiros atendimentos</t>
        </is>
      </c>
      <c r="M66" s="17" t="inlineStr">
        <is>
          <t>Conversão</t>
        </is>
      </c>
      <c r="N66" s="17" t="inlineStr">
        <is>
          <t>RH e liderança</t>
        </is>
      </c>
      <c r="O66" s="17" t="inlineStr">
        <is>
          <t>Comentários CUIDADO; DMs; diagnósticos</t>
        </is>
      </c>
      <c r="P66" s="17" t="inlineStr">
        <is>
          <t>Reel</t>
        </is>
      </c>
      <c r="Q66" s="17">
        <f>IFERROR(INDEX(Especificações!$G$2:$G$20,MATCH(P66,Especificações!$A$2:$A$20,0)),"")</f>
        <v/>
      </c>
      <c r="R66" s="17" t="inlineStr">
        <is>
          <t>30–45 s</t>
        </is>
      </c>
      <c r="S66" s="17" t="n"/>
      <c r="T66" s="17" t="n"/>
      <c r="U66" s="17" t="n"/>
      <c r="V66" s="17" t="n"/>
      <c r="W66" s="16">
        <f>LEN(V66)</f>
        <v/>
      </c>
      <c r="X66" s="17" t="n"/>
      <c r="Y66" s="17" t="n"/>
      <c r="Z66" s="17" t="inlineStr">
        <is>
          <t>#fairhealth</t>
        </is>
      </c>
      <c r="AA66" s="17" t="n"/>
      <c r="AB66" s="17" t="inlineStr">
        <is>
          <t>Vídeo com profissional</t>
        </is>
      </c>
      <c r="AC66" s="17" t="inlineStr">
        <is>
          <t>gravação da diária mensal</t>
        </is>
      </c>
      <c r="AD66" s="17" t="inlineStr"/>
      <c r="AE66" s="17" t="n"/>
      <c r="AF66" s="17" t="inlineStr">
        <is>
          <t>Não</t>
        </is>
      </c>
      <c r="AG66" s="17" t="inlineStr"/>
      <c r="AH66" s="18">
        <f>IF(AF66="Sim",WORKDAY(D66,-Config!$B$6),"")</f>
        <v/>
      </c>
      <c r="AI66" s="17" t="n"/>
      <c r="AJ66" s="18">
        <f>WORKDAY(D66,-Config!$B$5)</f>
        <v/>
      </c>
      <c r="AK66" s="17" t="n"/>
      <c r="AL66" s="17" t="n"/>
      <c r="AM66" s="17" t="n"/>
      <c r="AN66" s="17" t="inlineStr">
        <is>
          <t>Cross-post do Instagram</t>
        </is>
      </c>
      <c r="AO66" s="17" t="n"/>
      <c r="AP66" s="17" t="n"/>
      <c r="AQ66" s="17" t="n"/>
    </row>
    <row r="67" ht="42" customHeight="1">
      <c r="A67" s="16" t="inlineStr">
        <is>
          <t>FH065</t>
        </is>
      </c>
      <c r="B67" s="16" t="n">
        <v>13</v>
      </c>
      <c r="C67" s="17" t="inlineStr">
        <is>
          <t>Sexta</t>
        </is>
      </c>
      <c r="D67" s="18">
        <f>Config!$B$3+(B67-1)*7+INDEX(Listas!$M$3:$M$7,MATCH(C67,Listas!$L$3:$L$7,0))-1</f>
        <v/>
      </c>
      <c r="E67" s="19">
        <f>Config!$B$4</f>
        <v/>
      </c>
      <c r="F67" s="16">
        <f>D67-Config!$B$3+1</f>
        <v/>
      </c>
      <c r="G67" s="17">
        <f>IF(F67&lt;=30,Config!$B$16,IF(F67&lt;=60,Config!$B$17,Config!$B$18))</f>
        <v/>
      </c>
      <c r="H67" s="17" t="inlineStr">
        <is>
          <t>Ideia</t>
        </is>
      </c>
      <c r="I67" s="17" t="inlineStr">
        <is>
          <t>FAIR HEALTH para empresas</t>
        </is>
      </c>
      <c r="J67" s="17" t="inlineStr">
        <is>
          <t>Empresas que cuidam</t>
        </is>
      </c>
      <c r="K67" s="17" t="inlineStr">
        <is>
          <t>Saúde dentro das empresas</t>
        </is>
      </c>
      <c r="L67" s="17" t="inlineStr">
        <is>
          <t>Diagnóstico gratuito: comente CUIDADO</t>
        </is>
      </c>
      <c r="M67" s="17" t="inlineStr">
        <is>
          <t>Conversão</t>
        </is>
      </c>
      <c r="N67" s="17" t="inlineStr">
        <is>
          <t>RH e liderança</t>
        </is>
      </c>
      <c r="O67" s="17" t="inlineStr">
        <is>
          <t>Comentários CUIDADO; DMs; diagnósticos</t>
        </is>
      </c>
      <c r="P67" s="17" t="inlineStr">
        <is>
          <t>Carrossel</t>
        </is>
      </c>
      <c r="Q67" s="17">
        <f>IFERROR(INDEX(Especificações!$G$2:$G$20,MATCH(P67,Especificações!$A$2:$A$20,0)),"")</f>
        <v/>
      </c>
      <c r="R67" s="17" t="inlineStr">
        <is>
          <t>8 slides</t>
        </is>
      </c>
      <c r="S67" s="17" t="n"/>
      <c r="T67" s="17" t="n"/>
      <c r="U67" s="17" t="n"/>
      <c r="V67" s="17" t="n"/>
      <c r="W67" s="16">
        <f>LEN(V67)</f>
        <v/>
      </c>
      <c r="X67" s="17" t="n"/>
      <c r="Y67" s="17" t="n"/>
      <c r="Z67" s="17" t="inlineStr">
        <is>
          <t>#fairhealth</t>
        </is>
      </c>
      <c r="AA67" s="17" t="n"/>
      <c r="AB67" s="17" t="inlineStr">
        <is>
          <t>Institucional</t>
        </is>
      </c>
      <c r="AC67" s="17" t="inlineStr">
        <is>
          <t>arte + C1/B</t>
        </is>
      </c>
      <c r="AD67" s="17" t="inlineStr"/>
      <c r="AE67" s="17" t="n"/>
      <c r="AF67" s="17" t="inlineStr">
        <is>
          <t>Não</t>
        </is>
      </c>
      <c r="AG67" s="17" t="inlineStr"/>
      <c r="AH67" s="18">
        <f>IF(AF67="Sim",WORKDAY(D67,-Config!$B$6),"")</f>
        <v/>
      </c>
      <c r="AI67" s="17" t="n"/>
      <c r="AJ67" s="18">
        <f>WORKDAY(D67,-Config!$B$5)</f>
        <v/>
      </c>
      <c r="AK67" s="17" t="n"/>
      <c r="AL67" s="17" t="n"/>
      <c r="AM67" s="17" t="n"/>
      <c r="AN67" s="17" t="inlineStr">
        <is>
          <t>Cross-post do Instagram</t>
        </is>
      </c>
      <c r="AO67" s="17" t="n"/>
      <c r="AP67" s="17" t="n"/>
      <c r="AQ67" s="17" t="n"/>
    </row>
  </sheetData>
  <autoFilter ref="A2:AQ67"/>
  <mergeCells count="5">
    <mergeCell ref="AQ1"/>
    <mergeCell ref="P1:AA1"/>
    <mergeCell ref="A1:O1"/>
    <mergeCell ref="AL1:AP1"/>
    <mergeCell ref="AB1:AK1"/>
  </mergeCells>
  <conditionalFormatting sqref="H3:H400">
    <cfRule type="cellIs" priority="1" operator="equal" dxfId="0">
      <formula>"Publicado"</formula>
    </cfRule>
    <cfRule type="cellIs" priority="2" operator="equal" dxfId="1">
      <formula>"Agendado"</formula>
    </cfRule>
    <cfRule type="cellIs" priority="3" operator="equal" dxfId="2">
      <formula>"Aprovado"</formula>
    </cfRule>
    <cfRule type="cellIs" priority="4" operator="equal" dxfId="3">
      <formula>"Em revisão técnica"</formula>
    </cfRule>
    <cfRule type="cellIs" priority="5" operator="equal" dxfId="4">
      <formula>"Em produção"</formula>
    </cfRule>
    <cfRule type="cellIs" priority="6" operator="equal" dxfId="5">
      <formula>"Adiado"</formula>
    </cfRule>
  </conditionalFormatting>
  <conditionalFormatting sqref="W3:W400">
    <cfRule type="cellIs" priority="7" operator="greaterThan" dxfId="6">
      <formula>2200</formula>
    </cfRule>
  </conditionalFormatting>
  <conditionalFormatting sqref="AJ3:AJ400">
    <cfRule type="expression" priority="8" dxfId="6">
      <formula>AND(AJ3&lt;&gt;"",AJ3&lt;TODAY(),$H3&lt;&gt;"Aprovado",$H3&lt;&gt;"Agendado",$H3&lt;&gt;"Publicado")</formula>
    </cfRule>
  </conditionalFormatting>
  <conditionalFormatting sqref="AE3:AE400">
    <cfRule type="cellIs" priority="9" operator="equal" dxfId="3">
      <formula>"Não"</formula>
    </cfRule>
  </conditionalFormatting>
  <dataValidations count="11">
    <dataValidation sqref="H3:H400" showDropDown="0" showInputMessage="0" showErrorMessage="1" allowBlank="1" error="Escolha um valor da lista (aba Listas)." type="list">
      <formula1>=Listas!$A$3:$A$30</formula1>
    </dataValidation>
    <dataValidation sqref="P3:P400" showDropDown="0" showInputMessage="0" showErrorMessage="1" allowBlank="1" error="Escolha um valor da lista (aba Listas)." type="list">
      <formula1>=Listas!$B$3:$B$30</formula1>
    </dataValidation>
    <dataValidation sqref="J3:J400" showDropDown="0" showInputMessage="0" showErrorMessage="1" allowBlank="1" error="Escolha um valor da lista (aba Listas)." type="list">
      <formula1>=Listas!$C$3:$C$30</formula1>
    </dataValidation>
    <dataValidation sqref="K3:K400" showDropDown="0" showInputMessage="0" showErrorMessage="1" allowBlank="1" error="Escolha um valor da lista (aba Listas)." type="list">
      <formula1>=Listas!$D$3:$D$30</formula1>
    </dataValidation>
    <dataValidation sqref="M3:M400" showDropDown="0" showInputMessage="0" showErrorMessage="1" allowBlank="1" error="Escolha um valor da lista (aba Listas)." type="list">
      <formula1>=Listas!$E$3:$E$30</formula1>
    </dataValidation>
    <dataValidation sqref="N3:N400" showDropDown="0" showInputMessage="0" showErrorMessage="1" allowBlank="1" error="Escolha um valor da lista (aba Listas)." type="list">
      <formula1>=Listas!$F$3:$F$30</formula1>
    </dataValidation>
    <dataValidation sqref="AB3:AB400" showDropDown="0" showInputMessage="0" showErrorMessage="1" allowBlank="1" error="Escolha um valor da lista (aba Listas)." type="list">
      <formula1>=Listas!$G$3:$G$30</formula1>
    </dataValidation>
    <dataValidation sqref="AE3:AE400" showDropDown="0" showInputMessage="0" showErrorMessage="1" allowBlank="1" error="Escolha um valor da lista (aba Listas)." type="list">
      <formula1>=Listas!$H$3:$H$30</formula1>
    </dataValidation>
    <dataValidation sqref="AF3:AF400" showDropDown="0" showInputMessage="0" showErrorMessage="1" allowBlank="1" error="Escolha um valor da lista (aba Listas)." type="list">
      <formula1>=Listas!$H$3:$H$30</formula1>
    </dataValidation>
    <dataValidation sqref="AI3:AI400" showDropDown="0" showInputMessage="0" showErrorMessage="1" allowBlank="1" error="Escolha um valor da lista (aba Listas)." type="list">
      <formula1>=Listas!$I$3:$I$30</formula1>
    </dataValidation>
    <dataValidation sqref="C3:C400" showDropDown="0" showInputMessage="0" showErrorMessage="1" allowBlank="1" error="Escolha um valor da lista (aba Listas)." type="list">
      <formula1>=Listas!$J$3:$J$30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96C3BA"/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4" t="inlineStr">
        <is>
          <t>Painel do cronograma</t>
        </is>
      </c>
    </row>
    <row r="2">
      <c r="A2" s="2" t="inlineStr">
        <is>
          <t>Tudo nesta aba é calculado a partir das abas Cronograma e Resultados.</t>
        </is>
      </c>
    </row>
    <row r="4">
      <c r="A4" s="25" t="inlineStr">
        <is>
          <t>Status</t>
        </is>
      </c>
      <c r="B4" s="25" t="inlineStr">
        <is>
          <t>Posts</t>
        </is>
      </c>
      <c r="C4" s="26" t="n"/>
      <c r="D4" s="26" t="n"/>
      <c r="E4" s="26" t="n"/>
    </row>
    <row r="5">
      <c r="A5" s="26" t="inlineStr">
        <is>
          <t>Ideia</t>
        </is>
      </c>
      <c r="B5" s="26">
        <f>COUNTIF(Cronograma!$H$3:$H$400,A5)</f>
        <v/>
      </c>
      <c r="C5" s="26" t="n"/>
      <c r="D5" s="26" t="n"/>
      <c r="E5" s="26" t="n"/>
    </row>
    <row r="6">
      <c r="A6" s="26" t="inlineStr">
        <is>
          <t>Em roteiro</t>
        </is>
      </c>
      <c r="B6" s="26">
        <f>COUNTIF(Cronograma!$H$3:$H$400,A6)</f>
        <v/>
      </c>
      <c r="C6" s="26" t="n"/>
      <c r="D6" s="26" t="n"/>
      <c r="E6" s="26" t="n"/>
    </row>
    <row r="7">
      <c r="A7" s="26" t="inlineStr">
        <is>
          <t>Em produção</t>
        </is>
      </c>
      <c r="B7" s="26">
        <f>COUNTIF(Cronograma!$H$3:$H$400,A7)</f>
        <v/>
      </c>
      <c r="C7" s="26" t="n"/>
      <c r="D7" s="26" t="n"/>
      <c r="E7" s="26" t="n"/>
    </row>
    <row r="8">
      <c r="A8" s="26" t="inlineStr">
        <is>
          <t>Em revisão técnica</t>
        </is>
      </c>
      <c r="B8" s="26">
        <f>COUNTIF(Cronograma!$H$3:$H$400,A8)</f>
        <v/>
      </c>
      <c r="C8" s="26" t="n"/>
      <c r="D8" s="26" t="n"/>
      <c r="E8" s="26" t="n"/>
    </row>
    <row r="9">
      <c r="A9" s="26" t="inlineStr">
        <is>
          <t>Aprovado</t>
        </is>
      </c>
      <c r="B9" s="26">
        <f>COUNTIF(Cronograma!$H$3:$H$400,A9)</f>
        <v/>
      </c>
      <c r="C9" s="26" t="n"/>
      <c r="D9" s="26" t="n"/>
      <c r="E9" s="26" t="n"/>
    </row>
    <row r="10">
      <c r="A10" s="26" t="inlineStr">
        <is>
          <t>Agendado</t>
        </is>
      </c>
      <c r="B10" s="26">
        <f>COUNTIF(Cronograma!$H$3:$H$400,A10)</f>
        <v/>
      </c>
      <c r="C10" s="26" t="n"/>
      <c r="D10" s="26" t="n"/>
      <c r="E10" s="26" t="n"/>
    </row>
    <row r="11">
      <c r="A11" s="26" t="inlineStr">
        <is>
          <t>Publicado</t>
        </is>
      </c>
      <c r="B11" s="26">
        <f>COUNTIF(Cronograma!$H$3:$H$400,A11)</f>
        <v/>
      </c>
      <c r="C11" s="26" t="n"/>
      <c r="D11" s="26" t="n"/>
      <c r="E11" s="26" t="n"/>
    </row>
    <row r="12">
      <c r="A12" s="26" t="inlineStr">
        <is>
          <t>Adiado</t>
        </is>
      </c>
      <c r="B12" s="26">
        <f>COUNTIF(Cronograma!$H$3:$H$400,A12)</f>
        <v/>
      </c>
      <c r="C12" s="26" t="n"/>
      <c r="D12" s="26" t="n"/>
      <c r="E12" s="26" t="n"/>
    </row>
    <row r="13">
      <c r="A13" s="27" t="inlineStr">
        <is>
          <t>Total</t>
        </is>
      </c>
      <c r="B13" s="27">
        <f>SUM(B5:B12)</f>
        <v/>
      </c>
      <c r="C13" s="26" t="n"/>
      <c r="D13" s="26" t="n"/>
      <c r="E13" s="26" t="n"/>
    </row>
    <row r="14">
      <c r="A14" s="26" t="n"/>
      <c r="B14" s="26" t="n"/>
      <c r="C14" s="26" t="n"/>
      <c r="D14" s="26" t="n"/>
      <c r="E14" s="26" t="n"/>
    </row>
    <row r="15">
      <c r="A15" s="25" t="inlineStr">
        <is>
          <t>Território</t>
        </is>
      </c>
      <c r="B15" s="25" t="inlineStr">
        <is>
          <t>Posts</t>
        </is>
      </c>
      <c r="C15" s="25" t="inlineStr">
        <is>
          <t>% real</t>
        </is>
      </c>
      <c r="D15" s="25" t="inlineStr">
        <is>
          <t>Meta</t>
        </is>
      </c>
      <c r="E15" s="25" t="inlineStr">
        <is>
          <t>Diferença</t>
        </is>
      </c>
    </row>
    <row r="16">
      <c r="A16" s="26" t="inlineStr">
        <is>
          <t>Viver melhor</t>
        </is>
      </c>
      <c r="B16" s="26">
        <f>COUNTIF(Cronograma!$K$3:$K$400,A16)</f>
        <v/>
      </c>
      <c r="C16" s="28">
        <f>IF($B$13&gt;0,B16/$B$13,0)</f>
        <v/>
      </c>
      <c r="D16" s="28">
        <f>Config!B10</f>
        <v/>
      </c>
      <c r="E16" s="29">
        <f>C16-D16</f>
        <v/>
      </c>
    </row>
    <row r="17">
      <c r="A17" s="26" t="inlineStr">
        <is>
          <t>O cuidado começa pela pessoa</t>
        </is>
      </c>
      <c r="B17" s="26">
        <f>COUNTIF(Cronograma!$K$3:$K$400,A17)</f>
        <v/>
      </c>
      <c r="C17" s="28">
        <f>IF($B$13&gt;0,B17/$B$13,0)</f>
        <v/>
      </c>
      <c r="D17" s="28">
        <f>Config!B11</f>
        <v/>
      </c>
      <c r="E17" s="29">
        <f>C17-D17</f>
        <v/>
      </c>
    </row>
    <row r="18">
      <c r="A18" s="26" t="inlineStr">
        <is>
          <t>Saúde dentro das empresas</t>
        </is>
      </c>
      <c r="B18" s="26">
        <f>COUNTIF(Cronograma!$K$3:$K$400,A18)</f>
        <v/>
      </c>
      <c r="C18" s="28">
        <f>IF($B$13&gt;0,B18/$B$13,0)</f>
        <v/>
      </c>
      <c r="D18" s="28">
        <f>Config!B12</f>
        <v/>
      </c>
      <c r="E18" s="29">
        <f>C18-D18</f>
        <v/>
      </c>
    </row>
    <row r="19">
      <c r="A19" s="26" t="inlineStr">
        <is>
          <t>É assim que a FAIR HEALTH cuida</t>
        </is>
      </c>
      <c r="B19" s="26">
        <f>COUNTIF(Cronograma!$K$3:$K$400,A19)</f>
        <v/>
      </c>
      <c r="C19" s="28">
        <f>IF($B$13&gt;0,B19/$B$13,0)</f>
        <v/>
      </c>
      <c r="D19" s="28">
        <f>Config!B13</f>
        <v/>
      </c>
      <c r="E19" s="29">
        <f>C19-D19</f>
        <v/>
      </c>
    </row>
    <row r="20">
      <c r="A20" s="26" t="n"/>
      <c r="B20" s="26" t="n"/>
      <c r="C20" s="26" t="n"/>
      <c r="D20" s="26" t="n"/>
      <c r="E20" s="26" t="n"/>
    </row>
    <row r="21">
      <c r="A21" s="25" t="inlineStr">
        <is>
          <t>Formato</t>
        </is>
      </c>
      <c r="B21" s="25" t="inlineStr">
        <is>
          <t>Posts</t>
        </is>
      </c>
      <c r="C21" s="25" t="inlineStr">
        <is>
          <t>Alcance médio</t>
        </is>
      </c>
      <c r="D21" s="25" t="inlineStr">
        <is>
          <t>(Salv.+envios)/alcance médio</t>
        </is>
      </c>
      <c r="E21" s="26" t="n"/>
    </row>
    <row r="22">
      <c r="A22" s="26" t="inlineStr">
        <is>
          <t>Reel</t>
        </is>
      </c>
      <c r="B22" s="26">
        <f>COUNTIF(Cronograma!$P$3:$P$400,A22)</f>
        <v/>
      </c>
      <c r="C22" s="30">
        <f>IFERROR(AVERAGEIFS(Resultados!$F$2:$F$400,Resultados!$D$2:$D$400,A22,Resultados!$F$2:$F$400,"&gt;0"),"sem dados")</f>
        <v/>
      </c>
      <c r="D22" s="31">
        <f>IFERROR(AVERAGEIFS(Resultados!$T$2:$T$400,Resultados!$D$2:$D$400,A22,Resultados!$F$2:$F$400,"&gt;0"),"sem dados")</f>
        <v/>
      </c>
      <c r="E22" s="26" t="n"/>
    </row>
    <row r="23">
      <c r="A23" s="26" t="inlineStr">
        <is>
          <t>Carrossel</t>
        </is>
      </c>
      <c r="B23" s="26">
        <f>COUNTIF(Cronograma!$P$3:$P$400,A23)</f>
        <v/>
      </c>
      <c r="C23" s="30">
        <f>IFERROR(AVERAGEIFS(Resultados!$F$2:$F$400,Resultados!$D$2:$D$400,A23,Resultados!$F$2:$F$400,"&gt;0"),"sem dados")</f>
        <v/>
      </c>
      <c r="D23" s="31">
        <f>IFERROR(AVERAGEIFS(Resultados!$T$2:$T$400,Resultados!$D$2:$D$400,A23,Resultados!$F$2:$F$400,"&gt;0"),"sem dados")</f>
        <v/>
      </c>
      <c r="E23" s="26" t="n"/>
    </row>
    <row r="24">
      <c r="A24" s="26" t="inlineStr">
        <is>
          <t>Foto única</t>
        </is>
      </c>
      <c r="B24" s="26">
        <f>COUNTIF(Cronograma!$P$3:$P$400,A24)</f>
        <v/>
      </c>
      <c r="C24" s="30">
        <f>IFERROR(AVERAGEIFS(Resultados!$F$2:$F$400,Resultados!$D$2:$D$400,A24,Resultados!$F$2:$F$400,"&gt;0"),"sem dados")</f>
        <v/>
      </c>
      <c r="D24" s="31">
        <f>IFERROR(AVERAGEIFS(Resultados!$T$2:$T$400,Resultados!$D$2:$D$400,A24,Resultados!$F$2:$F$400,"&gt;0"),"sem dados")</f>
        <v/>
      </c>
      <c r="E24" s="26" t="n"/>
    </row>
    <row r="25">
      <c r="A25" s="26" t="n"/>
      <c r="B25" s="26" t="n"/>
      <c r="C25" s="26" t="n"/>
      <c r="D25" s="26" t="n"/>
      <c r="E25" s="26" t="n"/>
    </row>
    <row r="26">
      <c r="A26" s="25" t="inlineStr">
        <is>
          <t>Objetivo (funil)</t>
        </is>
      </c>
      <c r="B26" s="25" t="inlineStr">
        <is>
          <t>Posts</t>
        </is>
      </c>
      <c r="C26" s="26" t="n"/>
      <c r="D26" s="26" t="n"/>
      <c r="E26" s="26" t="n"/>
    </row>
    <row r="27">
      <c r="A27" s="26" t="inlineStr">
        <is>
          <t>Descoberta</t>
        </is>
      </c>
      <c r="B27" s="26">
        <f>COUNTIF(Cronograma!$M$3:$M$400,A27)</f>
        <v/>
      </c>
      <c r="C27" s="26" t="n"/>
      <c r="D27" s="26" t="n"/>
      <c r="E27" s="26" t="n"/>
    </row>
    <row r="28">
      <c r="A28" s="26" t="inlineStr">
        <is>
          <t>Interesse</t>
        </is>
      </c>
      <c r="B28" s="26">
        <f>COUNTIF(Cronograma!$M$3:$M$400,A28)</f>
        <v/>
      </c>
      <c r="C28" s="26" t="n"/>
      <c r="D28" s="26" t="n"/>
      <c r="E28" s="26" t="n"/>
    </row>
    <row r="29">
      <c r="A29" s="26" t="inlineStr">
        <is>
          <t>Confiança</t>
        </is>
      </c>
      <c r="B29" s="26">
        <f>COUNTIF(Cronograma!$M$3:$M$400,A29)</f>
        <v/>
      </c>
      <c r="C29" s="26" t="n"/>
      <c r="D29" s="26" t="n"/>
      <c r="E29" s="26" t="n"/>
    </row>
    <row r="30">
      <c r="A30" s="26" t="inlineStr">
        <is>
          <t>Conversa</t>
        </is>
      </c>
      <c r="B30" s="26">
        <f>COUNTIF(Cronograma!$M$3:$M$400,A30)</f>
        <v/>
      </c>
      <c r="C30" s="26" t="n"/>
      <c r="D30" s="26" t="n"/>
      <c r="E30" s="26" t="n"/>
    </row>
    <row r="31">
      <c r="A31" s="26" t="inlineStr">
        <is>
          <t>Conversão</t>
        </is>
      </c>
      <c r="B31" s="26">
        <f>COUNTIF(Cronograma!$M$3:$M$400,A31)</f>
        <v/>
      </c>
      <c r="C31" s="26" t="n"/>
      <c r="D31" s="26" t="n"/>
      <c r="E31" s="26" t="n"/>
    </row>
    <row r="32">
      <c r="A32" s="26" t="n"/>
      <c r="B32" s="26" t="n"/>
      <c r="C32" s="26" t="n"/>
      <c r="D32" s="26" t="n"/>
      <c r="E32" s="26" t="n"/>
    </row>
    <row r="33">
      <c r="A33" s="25" t="inlineStr">
        <is>
          <t>Alertas</t>
        </is>
      </c>
      <c r="B33" s="25" t="inlineStr">
        <is>
          <t>Quantidade</t>
        </is>
      </c>
      <c r="C33" s="26" t="n"/>
      <c r="D33" s="26" t="n"/>
      <c r="E33" s="26" t="n"/>
    </row>
    <row r="34">
      <c r="A34" s="26" t="inlineStr">
        <is>
          <t>Prazo de produção vencido sem aprovação</t>
        </is>
      </c>
      <c r="B34" s="27">
        <f>SUMPRODUCT((Cronograma!$AJ$3:$AJ$400&lt;&gt;"")*(Cronograma!$AJ$3:$AJ$400&lt;TODAY())*(Cronograma!$H$3:$H$400&lt;&gt;"Aprovado")*(Cronograma!$H$3:$H$400&lt;&gt;"Agendado")*(Cronograma!$H$3:$H$400&lt;&gt;"Publicado")*(Cronograma!$A$3:$A$400&lt;&gt;""))</f>
        <v/>
      </c>
      <c r="C34" s="26" t="n"/>
      <c r="D34" s="26" t="n"/>
      <c r="E34" s="26" t="n"/>
    </row>
    <row r="35">
      <c r="A35" s="26" t="inlineStr">
        <is>
          <t>Precisam de revisão técnica (não publicados)</t>
        </is>
      </c>
      <c r="B35" s="27">
        <f>COUNTIFS(Cronograma!$AF$3:$AF$400,"Sim",Cronograma!$H$3:$H$400,"&lt;&gt;Publicado")</f>
        <v/>
      </c>
      <c r="C35" s="26" t="n"/>
      <c r="D35" s="26" t="n"/>
      <c r="E35" s="26" t="n"/>
    </row>
    <row r="36">
      <c r="A36" s="26" t="inlineStr">
        <is>
          <t>Aprovados ou agendados sem legenda</t>
        </is>
      </c>
      <c r="B36" s="27">
        <f>COUNTIFS(Cronograma!$H$3:$H$400,"Aprovado",Cronograma!$V$3:$V$400,"")+COUNTIFS(Cronograma!$H$3:$H$400,"Agendado",Cronograma!$V$3:$V$400,"")</f>
        <v/>
      </c>
      <c r="C36" s="26" t="n"/>
      <c r="D36" s="26" t="n"/>
      <c r="E36" s="26" t="n"/>
    </row>
    <row r="37">
      <c r="A37" s="26" t="inlineStr">
        <is>
          <t>Posts publicados sem resultados lançados</t>
        </is>
      </c>
      <c r="B37" s="27">
        <f>SUMPRODUCT((Resultados!$A$2:$A$400&lt;&gt;"")*(Resultados!$A$2:$A$400&lt;&gt;0)*(Resultados!$F$2:$F$400="")*(COUNTIFS(Cronograma!$A$3:$A$400,Resultados!$A$2:$A$400,Cronograma!$H$3:$H$400,"Publicado")&gt;0))</f>
        <v/>
      </c>
      <c r="C37" s="26" t="n"/>
      <c r="D37" s="26" t="n"/>
      <c r="E37" s="26" t="n"/>
    </row>
    <row r="38">
      <c r="A38" s="26" t="n"/>
      <c r="B38" s="26" t="n"/>
      <c r="C38" s="26" t="n"/>
      <c r="D38" s="26" t="n"/>
      <c r="E38" s="2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6C3BA"/>
    <outlinePr summaryBelow="1" summaryRight="1"/>
    <pageSetUpPr/>
  </sheetPr>
  <dimension ref="A1:W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1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30" customWidth="1" min="21" max="21"/>
  </cols>
  <sheetData>
    <row r="1" ht="48" customHeight="1">
      <c r="A1" s="11" t="inlineStr">
        <is>
          <t>ID</t>
        </is>
      </c>
      <c r="B1" s="11" t="inlineStr">
        <is>
          <t>Pauta</t>
        </is>
      </c>
      <c r="C1" s="11" t="inlineStr">
        <is>
          <t>Data</t>
        </is>
      </c>
      <c r="D1" s="11" t="inlineStr">
        <is>
          <t>Formato</t>
        </is>
      </c>
      <c r="E1" s="11" t="inlineStr">
        <is>
          <t>Objetivo</t>
        </is>
      </c>
      <c r="F1" s="12" t="inlineStr">
        <is>
          <t>Alcance</t>
        </is>
      </c>
      <c r="G1" s="12" t="inlineStr">
        <is>
          <t>Alcance não seguidores</t>
        </is>
      </c>
      <c r="H1" s="12" t="inlineStr">
        <is>
          <t>Visualizações</t>
        </is>
      </c>
      <c r="I1" s="12" t="inlineStr">
        <is>
          <t>Retenção média (%)</t>
        </is>
      </c>
      <c r="J1" s="12" t="inlineStr">
        <is>
          <t>Curtidas</t>
        </is>
      </c>
      <c r="K1" s="12" t="inlineStr">
        <is>
          <t>Comentários</t>
        </is>
      </c>
      <c r="L1" s="12" t="inlineStr">
        <is>
          <t>Salvamentos</t>
        </is>
      </c>
      <c r="M1" s="12" t="inlineStr">
        <is>
          <t>Compartilhamentos / envios</t>
        </is>
      </c>
      <c r="N1" s="12" t="inlineStr">
        <is>
          <t>Visitas ao perfil</t>
        </is>
      </c>
      <c r="O1" s="12" t="inlineStr">
        <is>
          <t>Cliques no link</t>
        </is>
      </c>
      <c r="P1" s="12" t="inlineStr">
        <is>
          <t>DMs / comentários CUIDADO</t>
        </is>
      </c>
      <c r="Q1" s="12" t="inlineStr">
        <is>
          <t>Leads B2B</t>
        </is>
      </c>
      <c r="R1" s="11" t="inlineStr">
        <is>
          <t>% não seguidores</t>
        </is>
      </c>
      <c r="S1" s="11" t="inlineStr">
        <is>
          <t>Taxa de engajamento</t>
        </is>
      </c>
      <c r="T1" s="11" t="inlineStr">
        <is>
          <t>(Salvamentos + envios) / alcance</t>
        </is>
      </c>
      <c r="U1" s="11" t="inlineStr">
        <is>
          <t>Decisão (repetir / testar / ajustar / cortar)</t>
        </is>
      </c>
      <c r="W1" s="2" t="inlineStr">
        <is>
          <t>Campos em azul: copiar do Instagram Insights 7 dias após a publicação. As colunas R–T calculam sozinhas.</t>
        </is>
      </c>
    </row>
    <row r="2">
      <c r="A2" s="32">
        <f>Cronograma!A3</f>
        <v/>
      </c>
      <c r="B2" s="32">
        <f>IFERROR(INDEX(Cronograma!$L$3:$L$400,MATCH($A2,Cronograma!$A$3:$A$400,0)),"")</f>
        <v/>
      </c>
      <c r="C2" s="33">
        <f>IFERROR(INDEX(Cronograma!$D$3:$D$400,MATCH($A2,Cronograma!$A$3:$A$400,0)),"")</f>
        <v/>
      </c>
      <c r="D2" s="32">
        <f>IFERROR(INDEX(Cronograma!$P$3:$P$400,MATCH($A2,Cronograma!$A$3:$A$400,0)),"")</f>
        <v/>
      </c>
      <c r="E2" s="32">
        <f>IFERROR(INDEX(Cronograma!$M$3:$M$400,MATCH($A2,Cronograma!$A$3:$A$400,0)),"")</f>
        <v/>
      </c>
      <c r="F2" s="34" t="n"/>
      <c r="G2" s="34" t="n"/>
      <c r="H2" s="34" t="n"/>
      <c r="I2" s="35" t="n"/>
      <c r="J2" s="34" t="n"/>
      <c r="K2" s="34" t="n"/>
      <c r="L2" s="34" t="n"/>
      <c r="M2" s="34" t="n"/>
      <c r="N2" s="34" t="n"/>
      <c r="O2" s="34" t="n"/>
      <c r="P2" s="34" t="n"/>
      <c r="Q2" s="34" t="n"/>
      <c r="R2" s="36">
        <f>IF(F2&gt;0,G2/F2,"")</f>
        <v/>
      </c>
      <c r="S2" s="36">
        <f>IF(F2&gt;0,(J2+K2+L2+M2)/F2,"")</f>
        <v/>
      </c>
      <c r="T2" s="36">
        <f>IF(F2&gt;0,(L2+M2)/F2,"")</f>
        <v/>
      </c>
      <c r="U2" s="37" t="n"/>
      <c r="W2" s="2" t="inlineStr">
        <is>
          <t>Retenção média: digitar como fração (0,45 = 45%).</t>
        </is>
      </c>
    </row>
    <row r="3">
      <c r="A3" s="32">
        <f>Cronograma!A4</f>
        <v/>
      </c>
      <c r="B3" s="32">
        <f>IFERROR(INDEX(Cronograma!$L$3:$L$400,MATCH($A3,Cronograma!$A$3:$A$400,0)),"")</f>
        <v/>
      </c>
      <c r="C3" s="33">
        <f>IFERROR(INDEX(Cronograma!$D$3:$D$400,MATCH($A3,Cronograma!$A$3:$A$400,0)),"")</f>
        <v/>
      </c>
      <c r="D3" s="32">
        <f>IFERROR(INDEX(Cronograma!$P$3:$P$400,MATCH($A3,Cronograma!$A$3:$A$400,0)),"")</f>
        <v/>
      </c>
      <c r="E3" s="32">
        <f>IFERROR(INDEX(Cronograma!$M$3:$M$400,MATCH($A3,Cronograma!$A$3:$A$400,0)),"")</f>
        <v/>
      </c>
      <c r="F3" s="34" t="n"/>
      <c r="G3" s="34" t="n"/>
      <c r="H3" s="34" t="n"/>
      <c r="I3" s="35" t="n"/>
      <c r="J3" s="34" t="n"/>
      <c r="K3" s="34" t="n"/>
      <c r="L3" s="34" t="n"/>
      <c r="M3" s="34" t="n"/>
      <c r="N3" s="34" t="n"/>
      <c r="O3" s="34" t="n"/>
      <c r="P3" s="34" t="n"/>
      <c r="Q3" s="34" t="n"/>
      <c r="R3" s="36">
        <f>IF(F3&gt;0,G3/F3,"")</f>
        <v/>
      </c>
      <c r="S3" s="36">
        <f>IF(F3&gt;0,(J3+K3+L3+M3)/F3,"")</f>
        <v/>
      </c>
      <c r="T3" s="36">
        <f>IF(F3&gt;0,(L3+M3)/F3,"")</f>
        <v/>
      </c>
      <c r="U3" s="37" t="n"/>
    </row>
    <row r="4">
      <c r="A4" s="32">
        <f>Cronograma!A5</f>
        <v/>
      </c>
      <c r="B4" s="32">
        <f>IFERROR(INDEX(Cronograma!$L$3:$L$400,MATCH($A4,Cronograma!$A$3:$A$400,0)),"")</f>
        <v/>
      </c>
      <c r="C4" s="33">
        <f>IFERROR(INDEX(Cronograma!$D$3:$D$400,MATCH($A4,Cronograma!$A$3:$A$400,0)),"")</f>
        <v/>
      </c>
      <c r="D4" s="32">
        <f>IFERROR(INDEX(Cronograma!$P$3:$P$400,MATCH($A4,Cronograma!$A$3:$A$400,0)),"")</f>
        <v/>
      </c>
      <c r="E4" s="32">
        <f>IFERROR(INDEX(Cronograma!$M$3:$M$400,MATCH($A4,Cronograma!$A$3:$A$400,0)),"")</f>
        <v/>
      </c>
      <c r="F4" s="34" t="n"/>
      <c r="G4" s="34" t="n"/>
      <c r="H4" s="34" t="n"/>
      <c r="I4" s="35" t="n"/>
      <c r="J4" s="34" t="n"/>
      <c r="K4" s="34" t="n"/>
      <c r="L4" s="34" t="n"/>
      <c r="M4" s="34" t="n"/>
      <c r="N4" s="34" t="n"/>
      <c r="O4" s="34" t="n"/>
      <c r="P4" s="34" t="n"/>
      <c r="Q4" s="34" t="n"/>
      <c r="R4" s="36">
        <f>IF(F4&gt;0,G4/F4,"")</f>
        <v/>
      </c>
      <c r="S4" s="36">
        <f>IF(F4&gt;0,(J4+K4+L4+M4)/F4,"")</f>
        <v/>
      </c>
      <c r="T4" s="36">
        <f>IF(F4&gt;0,(L4+M4)/F4,"")</f>
        <v/>
      </c>
      <c r="U4" s="37" t="n"/>
    </row>
    <row r="5">
      <c r="A5" s="32">
        <f>Cronograma!A6</f>
        <v/>
      </c>
      <c r="B5" s="32">
        <f>IFERROR(INDEX(Cronograma!$L$3:$L$400,MATCH($A5,Cronograma!$A$3:$A$400,0)),"")</f>
        <v/>
      </c>
      <c r="C5" s="33">
        <f>IFERROR(INDEX(Cronograma!$D$3:$D$400,MATCH($A5,Cronograma!$A$3:$A$400,0)),"")</f>
        <v/>
      </c>
      <c r="D5" s="32">
        <f>IFERROR(INDEX(Cronograma!$P$3:$P$400,MATCH($A5,Cronograma!$A$3:$A$400,0)),"")</f>
        <v/>
      </c>
      <c r="E5" s="32">
        <f>IFERROR(INDEX(Cronograma!$M$3:$M$400,MATCH($A5,Cronograma!$A$3:$A$400,0)),"")</f>
        <v/>
      </c>
      <c r="F5" s="34" t="n"/>
      <c r="G5" s="34" t="n"/>
      <c r="H5" s="34" t="n"/>
      <c r="I5" s="35" t="n"/>
      <c r="J5" s="34" t="n"/>
      <c r="K5" s="34" t="n"/>
      <c r="L5" s="34" t="n"/>
      <c r="M5" s="34" t="n"/>
      <c r="N5" s="34" t="n"/>
      <c r="O5" s="34" t="n"/>
      <c r="P5" s="34" t="n"/>
      <c r="Q5" s="34" t="n"/>
      <c r="R5" s="36">
        <f>IF(F5&gt;0,G5/F5,"")</f>
        <v/>
      </c>
      <c r="S5" s="36">
        <f>IF(F5&gt;0,(J5+K5+L5+M5)/F5,"")</f>
        <v/>
      </c>
      <c r="T5" s="36">
        <f>IF(F5&gt;0,(L5+M5)/F5,"")</f>
        <v/>
      </c>
      <c r="U5" s="37" t="n"/>
    </row>
    <row r="6">
      <c r="A6" s="32">
        <f>Cronograma!A7</f>
        <v/>
      </c>
      <c r="B6" s="32">
        <f>IFERROR(INDEX(Cronograma!$L$3:$L$400,MATCH($A6,Cronograma!$A$3:$A$400,0)),"")</f>
        <v/>
      </c>
      <c r="C6" s="33">
        <f>IFERROR(INDEX(Cronograma!$D$3:$D$400,MATCH($A6,Cronograma!$A$3:$A$400,0)),"")</f>
        <v/>
      </c>
      <c r="D6" s="32">
        <f>IFERROR(INDEX(Cronograma!$P$3:$P$400,MATCH($A6,Cronograma!$A$3:$A$400,0)),"")</f>
        <v/>
      </c>
      <c r="E6" s="32">
        <f>IFERROR(INDEX(Cronograma!$M$3:$M$400,MATCH($A6,Cronograma!$A$3:$A$400,0)),"")</f>
        <v/>
      </c>
      <c r="F6" s="34" t="n"/>
      <c r="G6" s="34" t="n"/>
      <c r="H6" s="34" t="n"/>
      <c r="I6" s="35" t="n"/>
      <c r="J6" s="34" t="n"/>
      <c r="K6" s="34" t="n"/>
      <c r="L6" s="34" t="n"/>
      <c r="M6" s="34" t="n"/>
      <c r="N6" s="34" t="n"/>
      <c r="O6" s="34" t="n"/>
      <c r="P6" s="34" t="n"/>
      <c r="Q6" s="34" t="n"/>
      <c r="R6" s="36">
        <f>IF(F6&gt;0,G6/F6,"")</f>
        <v/>
      </c>
      <c r="S6" s="36">
        <f>IF(F6&gt;0,(J6+K6+L6+M6)/F6,"")</f>
        <v/>
      </c>
      <c r="T6" s="36">
        <f>IF(F6&gt;0,(L6+M6)/F6,"")</f>
        <v/>
      </c>
      <c r="U6" s="37" t="n"/>
    </row>
    <row r="7">
      <c r="A7" s="32">
        <f>Cronograma!A8</f>
        <v/>
      </c>
      <c r="B7" s="32">
        <f>IFERROR(INDEX(Cronograma!$L$3:$L$400,MATCH($A7,Cronograma!$A$3:$A$400,0)),"")</f>
        <v/>
      </c>
      <c r="C7" s="33">
        <f>IFERROR(INDEX(Cronograma!$D$3:$D$400,MATCH($A7,Cronograma!$A$3:$A$400,0)),"")</f>
        <v/>
      </c>
      <c r="D7" s="32">
        <f>IFERROR(INDEX(Cronograma!$P$3:$P$400,MATCH($A7,Cronograma!$A$3:$A$400,0)),"")</f>
        <v/>
      </c>
      <c r="E7" s="32">
        <f>IFERROR(INDEX(Cronograma!$M$3:$M$400,MATCH($A7,Cronograma!$A$3:$A$400,0)),"")</f>
        <v/>
      </c>
      <c r="F7" s="34" t="n"/>
      <c r="G7" s="34" t="n"/>
      <c r="H7" s="34" t="n"/>
      <c r="I7" s="35" t="n"/>
      <c r="J7" s="34" t="n"/>
      <c r="K7" s="34" t="n"/>
      <c r="L7" s="34" t="n"/>
      <c r="M7" s="34" t="n"/>
      <c r="N7" s="34" t="n"/>
      <c r="O7" s="34" t="n"/>
      <c r="P7" s="34" t="n"/>
      <c r="Q7" s="34" t="n"/>
      <c r="R7" s="36">
        <f>IF(F7&gt;0,G7/F7,"")</f>
        <v/>
      </c>
      <c r="S7" s="36">
        <f>IF(F7&gt;0,(J7+K7+L7+M7)/F7,"")</f>
        <v/>
      </c>
      <c r="T7" s="36">
        <f>IF(F7&gt;0,(L7+M7)/F7,"")</f>
        <v/>
      </c>
      <c r="U7" s="37" t="n"/>
    </row>
    <row r="8">
      <c r="A8" s="32">
        <f>Cronograma!A9</f>
        <v/>
      </c>
      <c r="B8" s="32">
        <f>IFERROR(INDEX(Cronograma!$L$3:$L$400,MATCH($A8,Cronograma!$A$3:$A$400,0)),"")</f>
        <v/>
      </c>
      <c r="C8" s="33">
        <f>IFERROR(INDEX(Cronograma!$D$3:$D$400,MATCH($A8,Cronograma!$A$3:$A$400,0)),"")</f>
        <v/>
      </c>
      <c r="D8" s="32">
        <f>IFERROR(INDEX(Cronograma!$P$3:$P$400,MATCH($A8,Cronograma!$A$3:$A$400,0)),"")</f>
        <v/>
      </c>
      <c r="E8" s="32">
        <f>IFERROR(INDEX(Cronograma!$M$3:$M$400,MATCH($A8,Cronograma!$A$3:$A$400,0)),"")</f>
        <v/>
      </c>
      <c r="F8" s="34" t="n"/>
      <c r="G8" s="34" t="n"/>
      <c r="H8" s="34" t="n"/>
      <c r="I8" s="35" t="n"/>
      <c r="J8" s="34" t="n"/>
      <c r="K8" s="34" t="n"/>
      <c r="L8" s="34" t="n"/>
      <c r="M8" s="34" t="n"/>
      <c r="N8" s="34" t="n"/>
      <c r="O8" s="34" t="n"/>
      <c r="P8" s="34" t="n"/>
      <c r="Q8" s="34" t="n"/>
      <c r="R8" s="36">
        <f>IF(F8&gt;0,G8/F8,"")</f>
        <v/>
      </c>
      <c r="S8" s="36">
        <f>IF(F8&gt;0,(J8+K8+L8+M8)/F8,"")</f>
        <v/>
      </c>
      <c r="T8" s="36">
        <f>IF(F8&gt;0,(L8+M8)/F8,"")</f>
        <v/>
      </c>
      <c r="U8" s="37" t="n"/>
    </row>
    <row r="9">
      <c r="A9" s="32">
        <f>Cronograma!A10</f>
        <v/>
      </c>
      <c r="B9" s="32">
        <f>IFERROR(INDEX(Cronograma!$L$3:$L$400,MATCH($A9,Cronograma!$A$3:$A$400,0)),"")</f>
        <v/>
      </c>
      <c r="C9" s="33">
        <f>IFERROR(INDEX(Cronograma!$D$3:$D$400,MATCH($A9,Cronograma!$A$3:$A$400,0)),"")</f>
        <v/>
      </c>
      <c r="D9" s="32">
        <f>IFERROR(INDEX(Cronograma!$P$3:$P$400,MATCH($A9,Cronograma!$A$3:$A$400,0)),"")</f>
        <v/>
      </c>
      <c r="E9" s="32">
        <f>IFERROR(INDEX(Cronograma!$M$3:$M$400,MATCH($A9,Cronograma!$A$3:$A$400,0)),"")</f>
        <v/>
      </c>
      <c r="F9" s="34" t="n"/>
      <c r="G9" s="34" t="n"/>
      <c r="H9" s="34" t="n"/>
      <c r="I9" s="35" t="n"/>
      <c r="J9" s="34" t="n"/>
      <c r="K9" s="34" t="n"/>
      <c r="L9" s="34" t="n"/>
      <c r="M9" s="34" t="n"/>
      <c r="N9" s="34" t="n"/>
      <c r="O9" s="34" t="n"/>
      <c r="P9" s="34" t="n"/>
      <c r="Q9" s="34" t="n"/>
      <c r="R9" s="36">
        <f>IF(F9&gt;0,G9/F9,"")</f>
        <v/>
      </c>
      <c r="S9" s="36">
        <f>IF(F9&gt;0,(J9+K9+L9+M9)/F9,"")</f>
        <v/>
      </c>
      <c r="T9" s="36">
        <f>IF(F9&gt;0,(L9+M9)/F9,"")</f>
        <v/>
      </c>
      <c r="U9" s="37" t="n"/>
    </row>
    <row r="10">
      <c r="A10" s="32">
        <f>Cronograma!A11</f>
        <v/>
      </c>
      <c r="B10" s="32">
        <f>IFERROR(INDEX(Cronograma!$L$3:$L$400,MATCH($A10,Cronograma!$A$3:$A$400,0)),"")</f>
        <v/>
      </c>
      <c r="C10" s="33">
        <f>IFERROR(INDEX(Cronograma!$D$3:$D$400,MATCH($A10,Cronograma!$A$3:$A$400,0)),"")</f>
        <v/>
      </c>
      <c r="D10" s="32">
        <f>IFERROR(INDEX(Cronograma!$P$3:$P$400,MATCH($A10,Cronograma!$A$3:$A$400,0)),"")</f>
        <v/>
      </c>
      <c r="E10" s="32">
        <f>IFERROR(INDEX(Cronograma!$M$3:$M$400,MATCH($A10,Cronograma!$A$3:$A$400,0)),"")</f>
        <v/>
      </c>
      <c r="F10" s="34" t="n"/>
      <c r="G10" s="34" t="n"/>
      <c r="H10" s="34" t="n"/>
      <c r="I10" s="35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6">
        <f>IF(F10&gt;0,G10/F10,"")</f>
        <v/>
      </c>
      <c r="S10" s="36">
        <f>IF(F10&gt;0,(J10+K10+L10+M10)/F10,"")</f>
        <v/>
      </c>
      <c r="T10" s="36">
        <f>IF(F10&gt;0,(L10+M10)/F10,"")</f>
        <v/>
      </c>
      <c r="U10" s="37" t="n"/>
    </row>
    <row r="11">
      <c r="A11" s="32">
        <f>Cronograma!A12</f>
        <v/>
      </c>
      <c r="B11" s="32">
        <f>IFERROR(INDEX(Cronograma!$L$3:$L$400,MATCH($A11,Cronograma!$A$3:$A$400,0)),"")</f>
        <v/>
      </c>
      <c r="C11" s="33">
        <f>IFERROR(INDEX(Cronograma!$D$3:$D$400,MATCH($A11,Cronograma!$A$3:$A$400,0)),"")</f>
        <v/>
      </c>
      <c r="D11" s="32">
        <f>IFERROR(INDEX(Cronograma!$P$3:$P$400,MATCH($A11,Cronograma!$A$3:$A$400,0)),"")</f>
        <v/>
      </c>
      <c r="E11" s="32">
        <f>IFERROR(INDEX(Cronograma!$M$3:$M$400,MATCH($A11,Cronograma!$A$3:$A$400,0)),"")</f>
        <v/>
      </c>
      <c r="F11" s="34" t="n"/>
      <c r="G11" s="34" t="n"/>
      <c r="H11" s="34" t="n"/>
      <c r="I11" s="35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6">
        <f>IF(F11&gt;0,G11/F11,"")</f>
        <v/>
      </c>
      <c r="S11" s="36">
        <f>IF(F11&gt;0,(J11+K11+L11+M11)/F11,"")</f>
        <v/>
      </c>
      <c r="T11" s="36">
        <f>IF(F11&gt;0,(L11+M11)/F11,"")</f>
        <v/>
      </c>
      <c r="U11" s="37" t="n"/>
    </row>
    <row r="12">
      <c r="A12" s="32">
        <f>Cronograma!A13</f>
        <v/>
      </c>
      <c r="B12" s="32">
        <f>IFERROR(INDEX(Cronograma!$L$3:$L$400,MATCH($A12,Cronograma!$A$3:$A$400,0)),"")</f>
        <v/>
      </c>
      <c r="C12" s="33">
        <f>IFERROR(INDEX(Cronograma!$D$3:$D$400,MATCH($A12,Cronograma!$A$3:$A$400,0)),"")</f>
        <v/>
      </c>
      <c r="D12" s="32">
        <f>IFERROR(INDEX(Cronograma!$P$3:$P$400,MATCH($A12,Cronograma!$A$3:$A$400,0)),"")</f>
        <v/>
      </c>
      <c r="E12" s="32">
        <f>IFERROR(INDEX(Cronograma!$M$3:$M$400,MATCH($A12,Cronograma!$A$3:$A$400,0)),"")</f>
        <v/>
      </c>
      <c r="F12" s="34" t="n"/>
      <c r="G12" s="34" t="n"/>
      <c r="H12" s="34" t="n"/>
      <c r="I12" s="35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6">
        <f>IF(F12&gt;0,G12/F12,"")</f>
        <v/>
      </c>
      <c r="S12" s="36">
        <f>IF(F12&gt;0,(J12+K12+L12+M12)/F12,"")</f>
        <v/>
      </c>
      <c r="T12" s="36">
        <f>IF(F12&gt;0,(L12+M12)/F12,"")</f>
        <v/>
      </c>
      <c r="U12" s="37" t="n"/>
    </row>
    <row r="13">
      <c r="A13" s="32">
        <f>Cronograma!A14</f>
        <v/>
      </c>
      <c r="B13" s="32">
        <f>IFERROR(INDEX(Cronograma!$L$3:$L$400,MATCH($A13,Cronograma!$A$3:$A$400,0)),"")</f>
        <v/>
      </c>
      <c r="C13" s="33">
        <f>IFERROR(INDEX(Cronograma!$D$3:$D$400,MATCH($A13,Cronograma!$A$3:$A$400,0)),"")</f>
        <v/>
      </c>
      <c r="D13" s="32">
        <f>IFERROR(INDEX(Cronograma!$P$3:$P$400,MATCH($A13,Cronograma!$A$3:$A$400,0)),"")</f>
        <v/>
      </c>
      <c r="E13" s="32">
        <f>IFERROR(INDEX(Cronograma!$M$3:$M$400,MATCH($A13,Cronograma!$A$3:$A$400,0)),"")</f>
        <v/>
      </c>
      <c r="F13" s="34" t="n"/>
      <c r="G13" s="34" t="n"/>
      <c r="H13" s="34" t="n"/>
      <c r="I13" s="35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6">
        <f>IF(F13&gt;0,G13/F13,"")</f>
        <v/>
      </c>
      <c r="S13" s="36">
        <f>IF(F13&gt;0,(J13+K13+L13+M13)/F13,"")</f>
        <v/>
      </c>
      <c r="T13" s="36">
        <f>IF(F13&gt;0,(L13+M13)/F13,"")</f>
        <v/>
      </c>
      <c r="U13" s="37" t="n"/>
    </row>
    <row r="14">
      <c r="A14" s="32">
        <f>Cronograma!A15</f>
        <v/>
      </c>
      <c r="B14" s="32">
        <f>IFERROR(INDEX(Cronograma!$L$3:$L$400,MATCH($A14,Cronograma!$A$3:$A$400,0)),"")</f>
        <v/>
      </c>
      <c r="C14" s="33">
        <f>IFERROR(INDEX(Cronograma!$D$3:$D$400,MATCH($A14,Cronograma!$A$3:$A$400,0)),"")</f>
        <v/>
      </c>
      <c r="D14" s="32">
        <f>IFERROR(INDEX(Cronograma!$P$3:$P$400,MATCH($A14,Cronograma!$A$3:$A$400,0)),"")</f>
        <v/>
      </c>
      <c r="E14" s="32">
        <f>IFERROR(INDEX(Cronograma!$M$3:$M$400,MATCH($A14,Cronograma!$A$3:$A$400,0)),"")</f>
        <v/>
      </c>
      <c r="F14" s="34" t="n"/>
      <c r="G14" s="34" t="n"/>
      <c r="H14" s="34" t="n"/>
      <c r="I14" s="35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6">
        <f>IF(F14&gt;0,G14/F14,"")</f>
        <v/>
      </c>
      <c r="S14" s="36">
        <f>IF(F14&gt;0,(J14+K14+L14+M14)/F14,"")</f>
        <v/>
      </c>
      <c r="T14" s="36">
        <f>IF(F14&gt;0,(L14+M14)/F14,"")</f>
        <v/>
      </c>
      <c r="U14" s="37" t="n"/>
    </row>
    <row r="15">
      <c r="A15" s="32">
        <f>Cronograma!A16</f>
        <v/>
      </c>
      <c r="B15" s="32">
        <f>IFERROR(INDEX(Cronograma!$L$3:$L$400,MATCH($A15,Cronograma!$A$3:$A$400,0)),"")</f>
        <v/>
      </c>
      <c r="C15" s="33">
        <f>IFERROR(INDEX(Cronograma!$D$3:$D$400,MATCH($A15,Cronograma!$A$3:$A$400,0)),"")</f>
        <v/>
      </c>
      <c r="D15" s="32">
        <f>IFERROR(INDEX(Cronograma!$P$3:$P$400,MATCH($A15,Cronograma!$A$3:$A$400,0)),"")</f>
        <v/>
      </c>
      <c r="E15" s="32">
        <f>IFERROR(INDEX(Cronograma!$M$3:$M$400,MATCH($A15,Cronograma!$A$3:$A$400,0)),"")</f>
        <v/>
      </c>
      <c r="F15" s="34" t="n"/>
      <c r="G15" s="34" t="n"/>
      <c r="H15" s="34" t="n"/>
      <c r="I15" s="35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6">
        <f>IF(F15&gt;0,G15/F15,"")</f>
        <v/>
      </c>
      <c r="S15" s="36">
        <f>IF(F15&gt;0,(J15+K15+L15+M15)/F15,"")</f>
        <v/>
      </c>
      <c r="T15" s="36">
        <f>IF(F15&gt;0,(L15+M15)/F15,"")</f>
        <v/>
      </c>
      <c r="U15" s="37" t="n"/>
    </row>
    <row r="16">
      <c r="A16" s="32">
        <f>Cronograma!A17</f>
        <v/>
      </c>
      <c r="B16" s="32">
        <f>IFERROR(INDEX(Cronograma!$L$3:$L$400,MATCH($A16,Cronograma!$A$3:$A$400,0)),"")</f>
        <v/>
      </c>
      <c r="C16" s="33">
        <f>IFERROR(INDEX(Cronograma!$D$3:$D$400,MATCH($A16,Cronograma!$A$3:$A$400,0)),"")</f>
        <v/>
      </c>
      <c r="D16" s="32">
        <f>IFERROR(INDEX(Cronograma!$P$3:$P$400,MATCH($A16,Cronograma!$A$3:$A$400,0)),"")</f>
        <v/>
      </c>
      <c r="E16" s="32">
        <f>IFERROR(INDEX(Cronograma!$M$3:$M$400,MATCH($A16,Cronograma!$A$3:$A$400,0)),"")</f>
        <v/>
      </c>
      <c r="F16" s="34" t="n"/>
      <c r="G16" s="34" t="n"/>
      <c r="H16" s="34" t="n"/>
      <c r="I16" s="35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6">
        <f>IF(F16&gt;0,G16/F16,"")</f>
        <v/>
      </c>
      <c r="S16" s="36">
        <f>IF(F16&gt;0,(J16+K16+L16+M16)/F16,"")</f>
        <v/>
      </c>
      <c r="T16" s="36">
        <f>IF(F16&gt;0,(L16+M16)/F16,"")</f>
        <v/>
      </c>
      <c r="U16" s="37" t="n"/>
    </row>
    <row r="17">
      <c r="A17" s="32">
        <f>Cronograma!A18</f>
        <v/>
      </c>
      <c r="B17" s="32">
        <f>IFERROR(INDEX(Cronograma!$L$3:$L$400,MATCH($A17,Cronograma!$A$3:$A$400,0)),"")</f>
        <v/>
      </c>
      <c r="C17" s="33">
        <f>IFERROR(INDEX(Cronograma!$D$3:$D$400,MATCH($A17,Cronograma!$A$3:$A$400,0)),"")</f>
        <v/>
      </c>
      <c r="D17" s="32">
        <f>IFERROR(INDEX(Cronograma!$P$3:$P$400,MATCH($A17,Cronograma!$A$3:$A$400,0)),"")</f>
        <v/>
      </c>
      <c r="E17" s="32">
        <f>IFERROR(INDEX(Cronograma!$M$3:$M$400,MATCH($A17,Cronograma!$A$3:$A$400,0)),"")</f>
        <v/>
      </c>
      <c r="F17" s="34" t="n"/>
      <c r="G17" s="34" t="n"/>
      <c r="H17" s="34" t="n"/>
      <c r="I17" s="35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6">
        <f>IF(F17&gt;0,G17/F17,"")</f>
        <v/>
      </c>
      <c r="S17" s="36">
        <f>IF(F17&gt;0,(J17+K17+L17+M17)/F17,"")</f>
        <v/>
      </c>
      <c r="T17" s="36">
        <f>IF(F17&gt;0,(L17+M17)/F17,"")</f>
        <v/>
      </c>
      <c r="U17" s="37" t="n"/>
    </row>
    <row r="18">
      <c r="A18" s="32">
        <f>Cronograma!A19</f>
        <v/>
      </c>
      <c r="B18" s="32">
        <f>IFERROR(INDEX(Cronograma!$L$3:$L$400,MATCH($A18,Cronograma!$A$3:$A$400,0)),"")</f>
        <v/>
      </c>
      <c r="C18" s="33">
        <f>IFERROR(INDEX(Cronograma!$D$3:$D$400,MATCH($A18,Cronograma!$A$3:$A$400,0)),"")</f>
        <v/>
      </c>
      <c r="D18" s="32">
        <f>IFERROR(INDEX(Cronograma!$P$3:$P$400,MATCH($A18,Cronograma!$A$3:$A$400,0)),"")</f>
        <v/>
      </c>
      <c r="E18" s="32">
        <f>IFERROR(INDEX(Cronograma!$M$3:$M$400,MATCH($A18,Cronograma!$A$3:$A$400,0)),"")</f>
        <v/>
      </c>
      <c r="F18" s="34" t="n"/>
      <c r="G18" s="34" t="n"/>
      <c r="H18" s="34" t="n"/>
      <c r="I18" s="35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6">
        <f>IF(F18&gt;0,G18/F18,"")</f>
        <v/>
      </c>
      <c r="S18" s="36">
        <f>IF(F18&gt;0,(J18+K18+L18+M18)/F18,"")</f>
        <v/>
      </c>
      <c r="T18" s="36">
        <f>IF(F18&gt;0,(L18+M18)/F18,"")</f>
        <v/>
      </c>
      <c r="U18" s="37" t="n"/>
    </row>
    <row r="19">
      <c r="A19" s="32">
        <f>Cronograma!A20</f>
        <v/>
      </c>
      <c r="B19" s="32">
        <f>IFERROR(INDEX(Cronograma!$L$3:$L$400,MATCH($A19,Cronograma!$A$3:$A$400,0)),"")</f>
        <v/>
      </c>
      <c r="C19" s="33">
        <f>IFERROR(INDEX(Cronograma!$D$3:$D$400,MATCH($A19,Cronograma!$A$3:$A$400,0)),"")</f>
        <v/>
      </c>
      <c r="D19" s="32">
        <f>IFERROR(INDEX(Cronograma!$P$3:$P$400,MATCH($A19,Cronograma!$A$3:$A$400,0)),"")</f>
        <v/>
      </c>
      <c r="E19" s="32">
        <f>IFERROR(INDEX(Cronograma!$M$3:$M$400,MATCH($A19,Cronograma!$A$3:$A$400,0)),"")</f>
        <v/>
      </c>
      <c r="F19" s="34" t="n"/>
      <c r="G19" s="34" t="n"/>
      <c r="H19" s="34" t="n"/>
      <c r="I19" s="35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6">
        <f>IF(F19&gt;0,G19/F19,"")</f>
        <v/>
      </c>
      <c r="S19" s="36">
        <f>IF(F19&gt;0,(J19+K19+L19+M19)/F19,"")</f>
        <v/>
      </c>
      <c r="T19" s="36">
        <f>IF(F19&gt;0,(L19+M19)/F19,"")</f>
        <v/>
      </c>
      <c r="U19" s="37" t="n"/>
    </row>
    <row r="20">
      <c r="A20" s="32">
        <f>Cronograma!A21</f>
        <v/>
      </c>
      <c r="B20" s="32">
        <f>IFERROR(INDEX(Cronograma!$L$3:$L$400,MATCH($A20,Cronograma!$A$3:$A$400,0)),"")</f>
        <v/>
      </c>
      <c r="C20" s="33">
        <f>IFERROR(INDEX(Cronograma!$D$3:$D$400,MATCH($A20,Cronograma!$A$3:$A$400,0)),"")</f>
        <v/>
      </c>
      <c r="D20" s="32">
        <f>IFERROR(INDEX(Cronograma!$P$3:$P$400,MATCH($A20,Cronograma!$A$3:$A$400,0)),"")</f>
        <v/>
      </c>
      <c r="E20" s="32">
        <f>IFERROR(INDEX(Cronograma!$M$3:$M$400,MATCH($A20,Cronograma!$A$3:$A$400,0)),"")</f>
        <v/>
      </c>
      <c r="F20" s="34" t="n"/>
      <c r="G20" s="34" t="n"/>
      <c r="H20" s="34" t="n"/>
      <c r="I20" s="35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6">
        <f>IF(F20&gt;0,G20/F20,"")</f>
        <v/>
      </c>
      <c r="S20" s="36">
        <f>IF(F20&gt;0,(J20+K20+L20+M20)/F20,"")</f>
        <v/>
      </c>
      <c r="T20" s="36">
        <f>IF(F20&gt;0,(L20+M20)/F20,"")</f>
        <v/>
      </c>
      <c r="U20" s="37" t="n"/>
    </row>
    <row r="21">
      <c r="A21" s="32">
        <f>Cronograma!A22</f>
        <v/>
      </c>
      <c r="B21" s="32">
        <f>IFERROR(INDEX(Cronograma!$L$3:$L$400,MATCH($A21,Cronograma!$A$3:$A$400,0)),"")</f>
        <v/>
      </c>
      <c r="C21" s="33">
        <f>IFERROR(INDEX(Cronograma!$D$3:$D$400,MATCH($A21,Cronograma!$A$3:$A$400,0)),"")</f>
        <v/>
      </c>
      <c r="D21" s="32">
        <f>IFERROR(INDEX(Cronograma!$P$3:$P$400,MATCH($A21,Cronograma!$A$3:$A$400,0)),"")</f>
        <v/>
      </c>
      <c r="E21" s="32">
        <f>IFERROR(INDEX(Cronograma!$M$3:$M$400,MATCH($A21,Cronograma!$A$3:$A$400,0)),"")</f>
        <v/>
      </c>
      <c r="F21" s="34" t="n"/>
      <c r="G21" s="34" t="n"/>
      <c r="H21" s="34" t="n"/>
      <c r="I21" s="35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6">
        <f>IF(F21&gt;0,G21/F21,"")</f>
        <v/>
      </c>
      <c r="S21" s="36">
        <f>IF(F21&gt;0,(J21+K21+L21+M21)/F21,"")</f>
        <v/>
      </c>
      <c r="T21" s="36">
        <f>IF(F21&gt;0,(L21+M21)/F21,"")</f>
        <v/>
      </c>
      <c r="U21" s="37" t="n"/>
    </row>
    <row r="22">
      <c r="A22" s="32">
        <f>Cronograma!A23</f>
        <v/>
      </c>
      <c r="B22" s="32">
        <f>IFERROR(INDEX(Cronograma!$L$3:$L$400,MATCH($A22,Cronograma!$A$3:$A$400,0)),"")</f>
        <v/>
      </c>
      <c r="C22" s="33">
        <f>IFERROR(INDEX(Cronograma!$D$3:$D$400,MATCH($A22,Cronograma!$A$3:$A$400,0)),"")</f>
        <v/>
      </c>
      <c r="D22" s="32">
        <f>IFERROR(INDEX(Cronograma!$P$3:$P$400,MATCH($A22,Cronograma!$A$3:$A$400,0)),"")</f>
        <v/>
      </c>
      <c r="E22" s="32">
        <f>IFERROR(INDEX(Cronograma!$M$3:$M$400,MATCH($A22,Cronograma!$A$3:$A$400,0)),"")</f>
        <v/>
      </c>
      <c r="F22" s="34" t="n"/>
      <c r="G22" s="34" t="n"/>
      <c r="H22" s="34" t="n"/>
      <c r="I22" s="35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6">
        <f>IF(F22&gt;0,G22/F22,"")</f>
        <v/>
      </c>
      <c r="S22" s="36">
        <f>IF(F22&gt;0,(J22+K22+L22+M22)/F22,"")</f>
        <v/>
      </c>
      <c r="T22" s="36">
        <f>IF(F22&gt;0,(L22+M22)/F22,"")</f>
        <v/>
      </c>
      <c r="U22" s="37" t="n"/>
    </row>
    <row r="23">
      <c r="A23" s="32">
        <f>Cronograma!A24</f>
        <v/>
      </c>
      <c r="B23" s="32">
        <f>IFERROR(INDEX(Cronograma!$L$3:$L$400,MATCH($A23,Cronograma!$A$3:$A$400,0)),"")</f>
        <v/>
      </c>
      <c r="C23" s="33">
        <f>IFERROR(INDEX(Cronograma!$D$3:$D$400,MATCH($A23,Cronograma!$A$3:$A$400,0)),"")</f>
        <v/>
      </c>
      <c r="D23" s="32">
        <f>IFERROR(INDEX(Cronograma!$P$3:$P$400,MATCH($A23,Cronograma!$A$3:$A$400,0)),"")</f>
        <v/>
      </c>
      <c r="E23" s="32">
        <f>IFERROR(INDEX(Cronograma!$M$3:$M$400,MATCH($A23,Cronograma!$A$3:$A$400,0)),"")</f>
        <v/>
      </c>
      <c r="F23" s="34" t="n"/>
      <c r="G23" s="34" t="n"/>
      <c r="H23" s="34" t="n"/>
      <c r="I23" s="35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6">
        <f>IF(F23&gt;0,G23/F23,"")</f>
        <v/>
      </c>
      <c r="S23" s="36">
        <f>IF(F23&gt;0,(J23+K23+L23+M23)/F23,"")</f>
        <v/>
      </c>
      <c r="T23" s="36">
        <f>IF(F23&gt;0,(L23+M23)/F23,"")</f>
        <v/>
      </c>
      <c r="U23" s="37" t="n"/>
    </row>
    <row r="24">
      <c r="A24" s="32">
        <f>Cronograma!A25</f>
        <v/>
      </c>
      <c r="B24" s="32">
        <f>IFERROR(INDEX(Cronograma!$L$3:$L$400,MATCH($A24,Cronograma!$A$3:$A$400,0)),"")</f>
        <v/>
      </c>
      <c r="C24" s="33">
        <f>IFERROR(INDEX(Cronograma!$D$3:$D$400,MATCH($A24,Cronograma!$A$3:$A$400,0)),"")</f>
        <v/>
      </c>
      <c r="D24" s="32">
        <f>IFERROR(INDEX(Cronograma!$P$3:$P$400,MATCH($A24,Cronograma!$A$3:$A$400,0)),"")</f>
        <v/>
      </c>
      <c r="E24" s="32">
        <f>IFERROR(INDEX(Cronograma!$M$3:$M$400,MATCH($A24,Cronograma!$A$3:$A$400,0)),"")</f>
        <v/>
      </c>
      <c r="F24" s="34" t="n"/>
      <c r="G24" s="34" t="n"/>
      <c r="H24" s="34" t="n"/>
      <c r="I24" s="35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6">
        <f>IF(F24&gt;0,G24/F24,"")</f>
        <v/>
      </c>
      <c r="S24" s="36">
        <f>IF(F24&gt;0,(J24+K24+L24+M24)/F24,"")</f>
        <v/>
      </c>
      <c r="T24" s="36">
        <f>IF(F24&gt;0,(L24+M24)/F24,"")</f>
        <v/>
      </c>
      <c r="U24" s="37" t="n"/>
    </row>
    <row r="25">
      <c r="A25" s="32">
        <f>Cronograma!A26</f>
        <v/>
      </c>
      <c r="B25" s="32">
        <f>IFERROR(INDEX(Cronograma!$L$3:$L$400,MATCH($A25,Cronograma!$A$3:$A$400,0)),"")</f>
        <v/>
      </c>
      <c r="C25" s="33">
        <f>IFERROR(INDEX(Cronograma!$D$3:$D$400,MATCH($A25,Cronograma!$A$3:$A$400,0)),"")</f>
        <v/>
      </c>
      <c r="D25" s="32">
        <f>IFERROR(INDEX(Cronograma!$P$3:$P$400,MATCH($A25,Cronograma!$A$3:$A$400,0)),"")</f>
        <v/>
      </c>
      <c r="E25" s="32">
        <f>IFERROR(INDEX(Cronograma!$M$3:$M$400,MATCH($A25,Cronograma!$A$3:$A$400,0)),"")</f>
        <v/>
      </c>
      <c r="F25" s="34" t="n"/>
      <c r="G25" s="34" t="n"/>
      <c r="H25" s="34" t="n"/>
      <c r="I25" s="35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6">
        <f>IF(F25&gt;0,G25/F25,"")</f>
        <v/>
      </c>
      <c r="S25" s="36">
        <f>IF(F25&gt;0,(J25+K25+L25+M25)/F25,"")</f>
        <v/>
      </c>
      <c r="T25" s="36">
        <f>IF(F25&gt;0,(L25+M25)/F25,"")</f>
        <v/>
      </c>
      <c r="U25" s="37" t="n"/>
    </row>
    <row r="26">
      <c r="A26" s="32">
        <f>Cronograma!A27</f>
        <v/>
      </c>
      <c r="B26" s="32">
        <f>IFERROR(INDEX(Cronograma!$L$3:$L$400,MATCH($A26,Cronograma!$A$3:$A$400,0)),"")</f>
        <v/>
      </c>
      <c r="C26" s="33">
        <f>IFERROR(INDEX(Cronograma!$D$3:$D$400,MATCH($A26,Cronograma!$A$3:$A$400,0)),"")</f>
        <v/>
      </c>
      <c r="D26" s="32">
        <f>IFERROR(INDEX(Cronograma!$P$3:$P$400,MATCH($A26,Cronograma!$A$3:$A$400,0)),"")</f>
        <v/>
      </c>
      <c r="E26" s="32">
        <f>IFERROR(INDEX(Cronograma!$M$3:$M$400,MATCH($A26,Cronograma!$A$3:$A$400,0)),"")</f>
        <v/>
      </c>
      <c r="F26" s="34" t="n"/>
      <c r="G26" s="34" t="n"/>
      <c r="H26" s="34" t="n"/>
      <c r="I26" s="35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6">
        <f>IF(F26&gt;0,G26/F26,"")</f>
        <v/>
      </c>
      <c r="S26" s="36">
        <f>IF(F26&gt;0,(J26+K26+L26+M26)/F26,"")</f>
        <v/>
      </c>
      <c r="T26" s="36">
        <f>IF(F26&gt;0,(L26+M26)/F26,"")</f>
        <v/>
      </c>
      <c r="U26" s="37" t="n"/>
    </row>
    <row r="27">
      <c r="A27" s="32">
        <f>Cronograma!A28</f>
        <v/>
      </c>
      <c r="B27" s="32">
        <f>IFERROR(INDEX(Cronograma!$L$3:$L$400,MATCH($A27,Cronograma!$A$3:$A$400,0)),"")</f>
        <v/>
      </c>
      <c r="C27" s="33">
        <f>IFERROR(INDEX(Cronograma!$D$3:$D$400,MATCH($A27,Cronograma!$A$3:$A$400,0)),"")</f>
        <v/>
      </c>
      <c r="D27" s="32">
        <f>IFERROR(INDEX(Cronograma!$P$3:$P$400,MATCH($A27,Cronograma!$A$3:$A$400,0)),"")</f>
        <v/>
      </c>
      <c r="E27" s="32">
        <f>IFERROR(INDEX(Cronograma!$M$3:$M$400,MATCH($A27,Cronograma!$A$3:$A$400,0)),"")</f>
        <v/>
      </c>
      <c r="F27" s="34" t="n"/>
      <c r="G27" s="34" t="n"/>
      <c r="H27" s="34" t="n"/>
      <c r="I27" s="35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6">
        <f>IF(F27&gt;0,G27/F27,"")</f>
        <v/>
      </c>
      <c r="S27" s="36">
        <f>IF(F27&gt;0,(J27+K27+L27+M27)/F27,"")</f>
        <v/>
      </c>
      <c r="T27" s="36">
        <f>IF(F27&gt;0,(L27+M27)/F27,"")</f>
        <v/>
      </c>
      <c r="U27" s="37" t="n"/>
    </row>
    <row r="28">
      <c r="A28" s="32">
        <f>Cronograma!A29</f>
        <v/>
      </c>
      <c r="B28" s="32">
        <f>IFERROR(INDEX(Cronograma!$L$3:$L$400,MATCH($A28,Cronograma!$A$3:$A$400,0)),"")</f>
        <v/>
      </c>
      <c r="C28" s="33">
        <f>IFERROR(INDEX(Cronograma!$D$3:$D$400,MATCH($A28,Cronograma!$A$3:$A$400,0)),"")</f>
        <v/>
      </c>
      <c r="D28" s="32">
        <f>IFERROR(INDEX(Cronograma!$P$3:$P$400,MATCH($A28,Cronograma!$A$3:$A$400,0)),"")</f>
        <v/>
      </c>
      <c r="E28" s="32">
        <f>IFERROR(INDEX(Cronograma!$M$3:$M$400,MATCH($A28,Cronograma!$A$3:$A$400,0)),"")</f>
        <v/>
      </c>
      <c r="F28" s="34" t="n"/>
      <c r="G28" s="34" t="n"/>
      <c r="H28" s="34" t="n"/>
      <c r="I28" s="35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6">
        <f>IF(F28&gt;0,G28/F28,"")</f>
        <v/>
      </c>
      <c r="S28" s="36">
        <f>IF(F28&gt;0,(J28+K28+L28+M28)/F28,"")</f>
        <v/>
      </c>
      <c r="T28" s="36">
        <f>IF(F28&gt;0,(L28+M28)/F28,"")</f>
        <v/>
      </c>
      <c r="U28" s="37" t="n"/>
    </row>
    <row r="29">
      <c r="A29" s="32">
        <f>Cronograma!A30</f>
        <v/>
      </c>
      <c r="B29" s="32">
        <f>IFERROR(INDEX(Cronograma!$L$3:$L$400,MATCH($A29,Cronograma!$A$3:$A$400,0)),"")</f>
        <v/>
      </c>
      <c r="C29" s="33">
        <f>IFERROR(INDEX(Cronograma!$D$3:$D$400,MATCH($A29,Cronograma!$A$3:$A$400,0)),"")</f>
        <v/>
      </c>
      <c r="D29" s="32">
        <f>IFERROR(INDEX(Cronograma!$P$3:$P$400,MATCH($A29,Cronograma!$A$3:$A$400,0)),"")</f>
        <v/>
      </c>
      <c r="E29" s="32">
        <f>IFERROR(INDEX(Cronograma!$M$3:$M$400,MATCH($A29,Cronograma!$A$3:$A$400,0)),"")</f>
        <v/>
      </c>
      <c r="F29" s="34" t="n"/>
      <c r="G29" s="34" t="n"/>
      <c r="H29" s="34" t="n"/>
      <c r="I29" s="35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6">
        <f>IF(F29&gt;0,G29/F29,"")</f>
        <v/>
      </c>
      <c r="S29" s="36">
        <f>IF(F29&gt;0,(J29+K29+L29+M29)/F29,"")</f>
        <v/>
      </c>
      <c r="T29" s="36">
        <f>IF(F29&gt;0,(L29+M29)/F29,"")</f>
        <v/>
      </c>
      <c r="U29" s="37" t="n"/>
    </row>
    <row r="30">
      <c r="A30" s="32">
        <f>Cronograma!A31</f>
        <v/>
      </c>
      <c r="B30" s="32">
        <f>IFERROR(INDEX(Cronograma!$L$3:$L$400,MATCH($A30,Cronograma!$A$3:$A$400,0)),"")</f>
        <v/>
      </c>
      <c r="C30" s="33">
        <f>IFERROR(INDEX(Cronograma!$D$3:$D$400,MATCH($A30,Cronograma!$A$3:$A$400,0)),"")</f>
        <v/>
      </c>
      <c r="D30" s="32">
        <f>IFERROR(INDEX(Cronograma!$P$3:$P$400,MATCH($A30,Cronograma!$A$3:$A$400,0)),"")</f>
        <v/>
      </c>
      <c r="E30" s="32">
        <f>IFERROR(INDEX(Cronograma!$M$3:$M$400,MATCH($A30,Cronograma!$A$3:$A$400,0)),"")</f>
        <v/>
      </c>
      <c r="F30" s="34" t="n"/>
      <c r="G30" s="34" t="n"/>
      <c r="H30" s="34" t="n"/>
      <c r="I30" s="35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6">
        <f>IF(F30&gt;0,G30/F30,"")</f>
        <v/>
      </c>
      <c r="S30" s="36">
        <f>IF(F30&gt;0,(J30+K30+L30+M30)/F30,"")</f>
        <v/>
      </c>
      <c r="T30" s="36">
        <f>IF(F30&gt;0,(L30+M30)/F30,"")</f>
        <v/>
      </c>
      <c r="U30" s="37" t="n"/>
    </row>
    <row r="31">
      <c r="A31" s="32">
        <f>Cronograma!A32</f>
        <v/>
      </c>
      <c r="B31" s="32">
        <f>IFERROR(INDEX(Cronograma!$L$3:$L$400,MATCH($A31,Cronograma!$A$3:$A$400,0)),"")</f>
        <v/>
      </c>
      <c r="C31" s="33">
        <f>IFERROR(INDEX(Cronograma!$D$3:$D$400,MATCH($A31,Cronograma!$A$3:$A$400,0)),"")</f>
        <v/>
      </c>
      <c r="D31" s="32">
        <f>IFERROR(INDEX(Cronograma!$P$3:$P$400,MATCH($A31,Cronograma!$A$3:$A$400,0)),"")</f>
        <v/>
      </c>
      <c r="E31" s="32">
        <f>IFERROR(INDEX(Cronograma!$M$3:$M$400,MATCH($A31,Cronograma!$A$3:$A$400,0)),"")</f>
        <v/>
      </c>
      <c r="F31" s="34" t="n"/>
      <c r="G31" s="34" t="n"/>
      <c r="H31" s="34" t="n"/>
      <c r="I31" s="35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6">
        <f>IF(F31&gt;0,G31/F31,"")</f>
        <v/>
      </c>
      <c r="S31" s="36">
        <f>IF(F31&gt;0,(J31+K31+L31+M31)/F31,"")</f>
        <v/>
      </c>
      <c r="T31" s="36">
        <f>IF(F31&gt;0,(L31+M31)/F31,"")</f>
        <v/>
      </c>
      <c r="U31" s="37" t="n"/>
    </row>
    <row r="32">
      <c r="A32" s="32">
        <f>Cronograma!A33</f>
        <v/>
      </c>
      <c r="B32" s="32">
        <f>IFERROR(INDEX(Cronograma!$L$3:$L$400,MATCH($A32,Cronograma!$A$3:$A$400,0)),"")</f>
        <v/>
      </c>
      <c r="C32" s="33">
        <f>IFERROR(INDEX(Cronograma!$D$3:$D$400,MATCH($A32,Cronograma!$A$3:$A$400,0)),"")</f>
        <v/>
      </c>
      <c r="D32" s="32">
        <f>IFERROR(INDEX(Cronograma!$P$3:$P$400,MATCH($A32,Cronograma!$A$3:$A$400,0)),"")</f>
        <v/>
      </c>
      <c r="E32" s="32">
        <f>IFERROR(INDEX(Cronograma!$M$3:$M$400,MATCH($A32,Cronograma!$A$3:$A$400,0)),"")</f>
        <v/>
      </c>
      <c r="F32" s="34" t="n"/>
      <c r="G32" s="34" t="n"/>
      <c r="H32" s="34" t="n"/>
      <c r="I32" s="35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6">
        <f>IF(F32&gt;0,G32/F32,"")</f>
        <v/>
      </c>
      <c r="S32" s="36">
        <f>IF(F32&gt;0,(J32+K32+L32+M32)/F32,"")</f>
        <v/>
      </c>
      <c r="T32" s="36">
        <f>IF(F32&gt;0,(L32+M32)/F32,"")</f>
        <v/>
      </c>
      <c r="U32" s="37" t="n"/>
    </row>
    <row r="33">
      <c r="A33" s="32">
        <f>Cronograma!A34</f>
        <v/>
      </c>
      <c r="B33" s="32">
        <f>IFERROR(INDEX(Cronograma!$L$3:$L$400,MATCH($A33,Cronograma!$A$3:$A$400,0)),"")</f>
        <v/>
      </c>
      <c r="C33" s="33">
        <f>IFERROR(INDEX(Cronograma!$D$3:$D$400,MATCH($A33,Cronograma!$A$3:$A$400,0)),"")</f>
        <v/>
      </c>
      <c r="D33" s="32">
        <f>IFERROR(INDEX(Cronograma!$P$3:$P$400,MATCH($A33,Cronograma!$A$3:$A$400,0)),"")</f>
        <v/>
      </c>
      <c r="E33" s="32">
        <f>IFERROR(INDEX(Cronograma!$M$3:$M$400,MATCH($A33,Cronograma!$A$3:$A$400,0)),"")</f>
        <v/>
      </c>
      <c r="F33" s="34" t="n"/>
      <c r="G33" s="34" t="n"/>
      <c r="H33" s="34" t="n"/>
      <c r="I33" s="35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6">
        <f>IF(F33&gt;0,G33/F33,"")</f>
        <v/>
      </c>
      <c r="S33" s="36">
        <f>IF(F33&gt;0,(J33+K33+L33+M33)/F33,"")</f>
        <v/>
      </c>
      <c r="T33" s="36">
        <f>IF(F33&gt;0,(L33+M33)/F33,"")</f>
        <v/>
      </c>
      <c r="U33" s="37" t="n"/>
    </row>
    <row r="34">
      <c r="A34" s="32">
        <f>Cronograma!A35</f>
        <v/>
      </c>
      <c r="B34" s="32">
        <f>IFERROR(INDEX(Cronograma!$L$3:$L$400,MATCH($A34,Cronograma!$A$3:$A$400,0)),"")</f>
        <v/>
      </c>
      <c r="C34" s="33">
        <f>IFERROR(INDEX(Cronograma!$D$3:$D$400,MATCH($A34,Cronograma!$A$3:$A$400,0)),"")</f>
        <v/>
      </c>
      <c r="D34" s="32">
        <f>IFERROR(INDEX(Cronograma!$P$3:$P$400,MATCH($A34,Cronograma!$A$3:$A$400,0)),"")</f>
        <v/>
      </c>
      <c r="E34" s="32">
        <f>IFERROR(INDEX(Cronograma!$M$3:$M$400,MATCH($A34,Cronograma!$A$3:$A$400,0)),"")</f>
        <v/>
      </c>
      <c r="F34" s="34" t="n"/>
      <c r="G34" s="34" t="n"/>
      <c r="H34" s="34" t="n"/>
      <c r="I34" s="35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6">
        <f>IF(F34&gt;0,G34/F34,"")</f>
        <v/>
      </c>
      <c r="S34" s="36">
        <f>IF(F34&gt;0,(J34+K34+L34+M34)/F34,"")</f>
        <v/>
      </c>
      <c r="T34" s="36">
        <f>IF(F34&gt;0,(L34+M34)/F34,"")</f>
        <v/>
      </c>
      <c r="U34" s="37" t="n"/>
    </row>
    <row r="35">
      <c r="A35" s="32">
        <f>Cronograma!A36</f>
        <v/>
      </c>
      <c r="B35" s="32">
        <f>IFERROR(INDEX(Cronograma!$L$3:$L$400,MATCH($A35,Cronograma!$A$3:$A$400,0)),"")</f>
        <v/>
      </c>
      <c r="C35" s="33">
        <f>IFERROR(INDEX(Cronograma!$D$3:$D$400,MATCH($A35,Cronograma!$A$3:$A$400,0)),"")</f>
        <v/>
      </c>
      <c r="D35" s="32">
        <f>IFERROR(INDEX(Cronograma!$P$3:$P$400,MATCH($A35,Cronograma!$A$3:$A$400,0)),"")</f>
        <v/>
      </c>
      <c r="E35" s="32">
        <f>IFERROR(INDEX(Cronograma!$M$3:$M$400,MATCH($A35,Cronograma!$A$3:$A$400,0)),"")</f>
        <v/>
      </c>
      <c r="F35" s="34" t="n"/>
      <c r="G35" s="34" t="n"/>
      <c r="H35" s="34" t="n"/>
      <c r="I35" s="35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6">
        <f>IF(F35&gt;0,G35/F35,"")</f>
        <v/>
      </c>
      <c r="S35" s="36">
        <f>IF(F35&gt;0,(J35+K35+L35+M35)/F35,"")</f>
        <v/>
      </c>
      <c r="T35" s="36">
        <f>IF(F35&gt;0,(L35+M35)/F35,"")</f>
        <v/>
      </c>
      <c r="U35" s="37" t="n"/>
    </row>
    <row r="36">
      <c r="A36" s="32">
        <f>Cronograma!A37</f>
        <v/>
      </c>
      <c r="B36" s="32">
        <f>IFERROR(INDEX(Cronograma!$L$3:$L$400,MATCH($A36,Cronograma!$A$3:$A$400,0)),"")</f>
        <v/>
      </c>
      <c r="C36" s="33">
        <f>IFERROR(INDEX(Cronograma!$D$3:$D$400,MATCH($A36,Cronograma!$A$3:$A$400,0)),"")</f>
        <v/>
      </c>
      <c r="D36" s="32">
        <f>IFERROR(INDEX(Cronograma!$P$3:$P$400,MATCH($A36,Cronograma!$A$3:$A$400,0)),"")</f>
        <v/>
      </c>
      <c r="E36" s="32">
        <f>IFERROR(INDEX(Cronograma!$M$3:$M$400,MATCH($A36,Cronograma!$A$3:$A$400,0)),"")</f>
        <v/>
      </c>
      <c r="F36" s="34" t="n"/>
      <c r="G36" s="34" t="n"/>
      <c r="H36" s="34" t="n"/>
      <c r="I36" s="35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6">
        <f>IF(F36&gt;0,G36/F36,"")</f>
        <v/>
      </c>
      <c r="S36" s="36">
        <f>IF(F36&gt;0,(J36+K36+L36+M36)/F36,"")</f>
        <v/>
      </c>
      <c r="T36" s="36">
        <f>IF(F36&gt;0,(L36+M36)/F36,"")</f>
        <v/>
      </c>
      <c r="U36" s="37" t="n"/>
    </row>
    <row r="37">
      <c r="A37" s="32">
        <f>Cronograma!A38</f>
        <v/>
      </c>
      <c r="B37" s="32">
        <f>IFERROR(INDEX(Cronograma!$L$3:$L$400,MATCH($A37,Cronograma!$A$3:$A$400,0)),"")</f>
        <v/>
      </c>
      <c r="C37" s="33">
        <f>IFERROR(INDEX(Cronograma!$D$3:$D$400,MATCH($A37,Cronograma!$A$3:$A$400,0)),"")</f>
        <v/>
      </c>
      <c r="D37" s="32">
        <f>IFERROR(INDEX(Cronograma!$P$3:$P$400,MATCH($A37,Cronograma!$A$3:$A$400,0)),"")</f>
        <v/>
      </c>
      <c r="E37" s="32">
        <f>IFERROR(INDEX(Cronograma!$M$3:$M$400,MATCH($A37,Cronograma!$A$3:$A$400,0)),"")</f>
        <v/>
      </c>
      <c r="F37" s="34" t="n"/>
      <c r="G37" s="34" t="n"/>
      <c r="H37" s="34" t="n"/>
      <c r="I37" s="35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6">
        <f>IF(F37&gt;0,G37/F37,"")</f>
        <v/>
      </c>
      <c r="S37" s="36">
        <f>IF(F37&gt;0,(J37+K37+L37+M37)/F37,"")</f>
        <v/>
      </c>
      <c r="T37" s="36">
        <f>IF(F37&gt;0,(L37+M37)/F37,"")</f>
        <v/>
      </c>
      <c r="U37" s="37" t="n"/>
    </row>
    <row r="38">
      <c r="A38" s="32">
        <f>Cronograma!A39</f>
        <v/>
      </c>
      <c r="B38" s="32">
        <f>IFERROR(INDEX(Cronograma!$L$3:$L$400,MATCH($A38,Cronograma!$A$3:$A$400,0)),"")</f>
        <v/>
      </c>
      <c r="C38" s="33">
        <f>IFERROR(INDEX(Cronograma!$D$3:$D$400,MATCH($A38,Cronograma!$A$3:$A$400,0)),"")</f>
        <v/>
      </c>
      <c r="D38" s="32">
        <f>IFERROR(INDEX(Cronograma!$P$3:$P$400,MATCH($A38,Cronograma!$A$3:$A$400,0)),"")</f>
        <v/>
      </c>
      <c r="E38" s="32">
        <f>IFERROR(INDEX(Cronograma!$M$3:$M$400,MATCH($A38,Cronograma!$A$3:$A$400,0)),"")</f>
        <v/>
      </c>
      <c r="F38" s="34" t="n"/>
      <c r="G38" s="34" t="n"/>
      <c r="H38" s="34" t="n"/>
      <c r="I38" s="35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6">
        <f>IF(F38&gt;0,G38/F38,"")</f>
        <v/>
      </c>
      <c r="S38" s="36">
        <f>IF(F38&gt;0,(J38+K38+L38+M38)/F38,"")</f>
        <v/>
      </c>
      <c r="T38" s="36">
        <f>IF(F38&gt;0,(L38+M38)/F38,"")</f>
        <v/>
      </c>
      <c r="U38" s="37" t="n"/>
    </row>
    <row r="39">
      <c r="A39" s="32">
        <f>Cronograma!A40</f>
        <v/>
      </c>
      <c r="B39" s="32">
        <f>IFERROR(INDEX(Cronograma!$L$3:$L$400,MATCH($A39,Cronograma!$A$3:$A$400,0)),"")</f>
        <v/>
      </c>
      <c r="C39" s="33">
        <f>IFERROR(INDEX(Cronograma!$D$3:$D$400,MATCH($A39,Cronograma!$A$3:$A$400,0)),"")</f>
        <v/>
      </c>
      <c r="D39" s="32">
        <f>IFERROR(INDEX(Cronograma!$P$3:$P$400,MATCH($A39,Cronograma!$A$3:$A$400,0)),"")</f>
        <v/>
      </c>
      <c r="E39" s="32">
        <f>IFERROR(INDEX(Cronograma!$M$3:$M$400,MATCH($A39,Cronograma!$A$3:$A$400,0)),"")</f>
        <v/>
      </c>
      <c r="F39" s="34" t="n"/>
      <c r="G39" s="34" t="n"/>
      <c r="H39" s="34" t="n"/>
      <c r="I39" s="35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6">
        <f>IF(F39&gt;0,G39/F39,"")</f>
        <v/>
      </c>
      <c r="S39" s="36">
        <f>IF(F39&gt;0,(J39+K39+L39+M39)/F39,"")</f>
        <v/>
      </c>
      <c r="T39" s="36">
        <f>IF(F39&gt;0,(L39+M39)/F39,"")</f>
        <v/>
      </c>
      <c r="U39" s="37" t="n"/>
    </row>
    <row r="40">
      <c r="A40" s="32">
        <f>Cronograma!A41</f>
        <v/>
      </c>
      <c r="B40" s="32">
        <f>IFERROR(INDEX(Cronograma!$L$3:$L$400,MATCH($A40,Cronograma!$A$3:$A$400,0)),"")</f>
        <v/>
      </c>
      <c r="C40" s="33">
        <f>IFERROR(INDEX(Cronograma!$D$3:$D$400,MATCH($A40,Cronograma!$A$3:$A$400,0)),"")</f>
        <v/>
      </c>
      <c r="D40" s="32">
        <f>IFERROR(INDEX(Cronograma!$P$3:$P$400,MATCH($A40,Cronograma!$A$3:$A$400,0)),"")</f>
        <v/>
      </c>
      <c r="E40" s="32">
        <f>IFERROR(INDEX(Cronograma!$M$3:$M$400,MATCH($A40,Cronograma!$A$3:$A$400,0)),"")</f>
        <v/>
      </c>
      <c r="F40" s="34" t="n"/>
      <c r="G40" s="34" t="n"/>
      <c r="H40" s="34" t="n"/>
      <c r="I40" s="35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6">
        <f>IF(F40&gt;0,G40/F40,"")</f>
        <v/>
      </c>
      <c r="S40" s="36">
        <f>IF(F40&gt;0,(J40+K40+L40+M40)/F40,"")</f>
        <v/>
      </c>
      <c r="T40" s="36">
        <f>IF(F40&gt;0,(L40+M40)/F40,"")</f>
        <v/>
      </c>
      <c r="U40" s="37" t="n"/>
    </row>
    <row r="41">
      <c r="A41" s="32">
        <f>Cronograma!A42</f>
        <v/>
      </c>
      <c r="B41" s="32">
        <f>IFERROR(INDEX(Cronograma!$L$3:$L$400,MATCH($A41,Cronograma!$A$3:$A$400,0)),"")</f>
        <v/>
      </c>
      <c r="C41" s="33">
        <f>IFERROR(INDEX(Cronograma!$D$3:$D$400,MATCH($A41,Cronograma!$A$3:$A$400,0)),"")</f>
        <v/>
      </c>
      <c r="D41" s="32">
        <f>IFERROR(INDEX(Cronograma!$P$3:$P$400,MATCH($A41,Cronograma!$A$3:$A$400,0)),"")</f>
        <v/>
      </c>
      <c r="E41" s="32">
        <f>IFERROR(INDEX(Cronograma!$M$3:$M$400,MATCH($A41,Cronograma!$A$3:$A$400,0)),"")</f>
        <v/>
      </c>
      <c r="F41" s="34" t="n"/>
      <c r="G41" s="34" t="n"/>
      <c r="H41" s="34" t="n"/>
      <c r="I41" s="35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6">
        <f>IF(F41&gt;0,G41/F41,"")</f>
        <v/>
      </c>
      <c r="S41" s="36">
        <f>IF(F41&gt;0,(J41+K41+L41+M41)/F41,"")</f>
        <v/>
      </c>
      <c r="T41" s="36">
        <f>IF(F41&gt;0,(L41+M41)/F41,"")</f>
        <v/>
      </c>
      <c r="U41" s="37" t="n"/>
    </row>
    <row r="42">
      <c r="A42" s="32">
        <f>Cronograma!A43</f>
        <v/>
      </c>
      <c r="B42" s="32">
        <f>IFERROR(INDEX(Cronograma!$L$3:$L$400,MATCH($A42,Cronograma!$A$3:$A$400,0)),"")</f>
        <v/>
      </c>
      <c r="C42" s="33">
        <f>IFERROR(INDEX(Cronograma!$D$3:$D$400,MATCH($A42,Cronograma!$A$3:$A$400,0)),"")</f>
        <v/>
      </c>
      <c r="D42" s="32">
        <f>IFERROR(INDEX(Cronograma!$P$3:$P$400,MATCH($A42,Cronograma!$A$3:$A$400,0)),"")</f>
        <v/>
      </c>
      <c r="E42" s="32">
        <f>IFERROR(INDEX(Cronograma!$M$3:$M$400,MATCH($A42,Cronograma!$A$3:$A$400,0)),"")</f>
        <v/>
      </c>
      <c r="F42" s="34" t="n"/>
      <c r="G42" s="34" t="n"/>
      <c r="H42" s="34" t="n"/>
      <c r="I42" s="35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6">
        <f>IF(F42&gt;0,G42/F42,"")</f>
        <v/>
      </c>
      <c r="S42" s="36">
        <f>IF(F42&gt;0,(J42+K42+L42+M42)/F42,"")</f>
        <v/>
      </c>
      <c r="T42" s="36">
        <f>IF(F42&gt;0,(L42+M42)/F42,"")</f>
        <v/>
      </c>
      <c r="U42" s="37" t="n"/>
    </row>
    <row r="43">
      <c r="A43" s="32">
        <f>Cronograma!A44</f>
        <v/>
      </c>
      <c r="B43" s="32">
        <f>IFERROR(INDEX(Cronograma!$L$3:$L$400,MATCH($A43,Cronograma!$A$3:$A$400,0)),"")</f>
        <v/>
      </c>
      <c r="C43" s="33">
        <f>IFERROR(INDEX(Cronograma!$D$3:$D$400,MATCH($A43,Cronograma!$A$3:$A$400,0)),"")</f>
        <v/>
      </c>
      <c r="D43" s="32">
        <f>IFERROR(INDEX(Cronograma!$P$3:$P$400,MATCH($A43,Cronograma!$A$3:$A$400,0)),"")</f>
        <v/>
      </c>
      <c r="E43" s="32">
        <f>IFERROR(INDEX(Cronograma!$M$3:$M$400,MATCH($A43,Cronograma!$A$3:$A$400,0)),"")</f>
        <v/>
      </c>
      <c r="F43" s="34" t="n"/>
      <c r="G43" s="34" t="n"/>
      <c r="H43" s="34" t="n"/>
      <c r="I43" s="35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6">
        <f>IF(F43&gt;0,G43/F43,"")</f>
        <v/>
      </c>
      <c r="S43" s="36">
        <f>IF(F43&gt;0,(J43+K43+L43+M43)/F43,"")</f>
        <v/>
      </c>
      <c r="T43" s="36">
        <f>IF(F43&gt;0,(L43+M43)/F43,"")</f>
        <v/>
      </c>
      <c r="U43" s="37" t="n"/>
    </row>
    <row r="44">
      <c r="A44" s="32">
        <f>Cronograma!A45</f>
        <v/>
      </c>
      <c r="B44" s="32">
        <f>IFERROR(INDEX(Cronograma!$L$3:$L$400,MATCH($A44,Cronograma!$A$3:$A$400,0)),"")</f>
        <v/>
      </c>
      <c r="C44" s="33">
        <f>IFERROR(INDEX(Cronograma!$D$3:$D$400,MATCH($A44,Cronograma!$A$3:$A$400,0)),"")</f>
        <v/>
      </c>
      <c r="D44" s="32">
        <f>IFERROR(INDEX(Cronograma!$P$3:$P$400,MATCH($A44,Cronograma!$A$3:$A$400,0)),"")</f>
        <v/>
      </c>
      <c r="E44" s="32">
        <f>IFERROR(INDEX(Cronograma!$M$3:$M$400,MATCH($A44,Cronograma!$A$3:$A$400,0)),"")</f>
        <v/>
      </c>
      <c r="F44" s="34" t="n"/>
      <c r="G44" s="34" t="n"/>
      <c r="H44" s="34" t="n"/>
      <c r="I44" s="35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6">
        <f>IF(F44&gt;0,G44/F44,"")</f>
        <v/>
      </c>
      <c r="S44" s="36">
        <f>IF(F44&gt;0,(J44+K44+L44+M44)/F44,"")</f>
        <v/>
      </c>
      <c r="T44" s="36">
        <f>IF(F44&gt;0,(L44+M44)/F44,"")</f>
        <v/>
      </c>
      <c r="U44" s="37" t="n"/>
    </row>
    <row r="45">
      <c r="A45" s="32">
        <f>Cronograma!A46</f>
        <v/>
      </c>
      <c r="B45" s="32">
        <f>IFERROR(INDEX(Cronograma!$L$3:$L$400,MATCH($A45,Cronograma!$A$3:$A$400,0)),"")</f>
        <v/>
      </c>
      <c r="C45" s="33">
        <f>IFERROR(INDEX(Cronograma!$D$3:$D$400,MATCH($A45,Cronograma!$A$3:$A$400,0)),"")</f>
        <v/>
      </c>
      <c r="D45" s="32">
        <f>IFERROR(INDEX(Cronograma!$P$3:$P$400,MATCH($A45,Cronograma!$A$3:$A$400,0)),"")</f>
        <v/>
      </c>
      <c r="E45" s="32">
        <f>IFERROR(INDEX(Cronograma!$M$3:$M$400,MATCH($A45,Cronograma!$A$3:$A$400,0)),"")</f>
        <v/>
      </c>
      <c r="F45" s="34" t="n"/>
      <c r="G45" s="34" t="n"/>
      <c r="H45" s="34" t="n"/>
      <c r="I45" s="35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6">
        <f>IF(F45&gt;0,G45/F45,"")</f>
        <v/>
      </c>
      <c r="S45" s="36">
        <f>IF(F45&gt;0,(J45+K45+L45+M45)/F45,"")</f>
        <v/>
      </c>
      <c r="T45" s="36">
        <f>IF(F45&gt;0,(L45+M45)/F45,"")</f>
        <v/>
      </c>
      <c r="U45" s="37" t="n"/>
    </row>
    <row r="46">
      <c r="A46" s="32">
        <f>Cronograma!A47</f>
        <v/>
      </c>
      <c r="B46" s="32">
        <f>IFERROR(INDEX(Cronograma!$L$3:$L$400,MATCH($A46,Cronograma!$A$3:$A$400,0)),"")</f>
        <v/>
      </c>
      <c r="C46" s="33">
        <f>IFERROR(INDEX(Cronograma!$D$3:$D$400,MATCH($A46,Cronograma!$A$3:$A$400,0)),"")</f>
        <v/>
      </c>
      <c r="D46" s="32">
        <f>IFERROR(INDEX(Cronograma!$P$3:$P$400,MATCH($A46,Cronograma!$A$3:$A$400,0)),"")</f>
        <v/>
      </c>
      <c r="E46" s="32">
        <f>IFERROR(INDEX(Cronograma!$M$3:$M$400,MATCH($A46,Cronograma!$A$3:$A$400,0)),"")</f>
        <v/>
      </c>
      <c r="F46" s="34" t="n"/>
      <c r="G46" s="34" t="n"/>
      <c r="H46" s="34" t="n"/>
      <c r="I46" s="35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6">
        <f>IF(F46&gt;0,G46/F46,"")</f>
        <v/>
      </c>
      <c r="S46" s="36">
        <f>IF(F46&gt;0,(J46+K46+L46+M46)/F46,"")</f>
        <v/>
      </c>
      <c r="T46" s="36">
        <f>IF(F46&gt;0,(L46+M46)/F46,"")</f>
        <v/>
      </c>
      <c r="U46" s="37" t="n"/>
    </row>
    <row r="47">
      <c r="A47" s="32">
        <f>Cronograma!A48</f>
        <v/>
      </c>
      <c r="B47" s="32">
        <f>IFERROR(INDEX(Cronograma!$L$3:$L$400,MATCH($A47,Cronograma!$A$3:$A$400,0)),"")</f>
        <v/>
      </c>
      <c r="C47" s="33">
        <f>IFERROR(INDEX(Cronograma!$D$3:$D$400,MATCH($A47,Cronograma!$A$3:$A$400,0)),"")</f>
        <v/>
      </c>
      <c r="D47" s="32">
        <f>IFERROR(INDEX(Cronograma!$P$3:$P$400,MATCH($A47,Cronograma!$A$3:$A$400,0)),"")</f>
        <v/>
      </c>
      <c r="E47" s="32">
        <f>IFERROR(INDEX(Cronograma!$M$3:$M$400,MATCH($A47,Cronograma!$A$3:$A$400,0)),"")</f>
        <v/>
      </c>
      <c r="F47" s="34" t="n"/>
      <c r="G47" s="34" t="n"/>
      <c r="H47" s="34" t="n"/>
      <c r="I47" s="35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6">
        <f>IF(F47&gt;0,G47/F47,"")</f>
        <v/>
      </c>
      <c r="S47" s="36">
        <f>IF(F47&gt;0,(J47+K47+L47+M47)/F47,"")</f>
        <v/>
      </c>
      <c r="T47" s="36">
        <f>IF(F47&gt;0,(L47+M47)/F47,"")</f>
        <v/>
      </c>
      <c r="U47" s="37" t="n"/>
    </row>
    <row r="48">
      <c r="A48" s="32">
        <f>Cronograma!A49</f>
        <v/>
      </c>
      <c r="B48" s="32">
        <f>IFERROR(INDEX(Cronograma!$L$3:$L$400,MATCH($A48,Cronograma!$A$3:$A$400,0)),"")</f>
        <v/>
      </c>
      <c r="C48" s="33">
        <f>IFERROR(INDEX(Cronograma!$D$3:$D$400,MATCH($A48,Cronograma!$A$3:$A$400,0)),"")</f>
        <v/>
      </c>
      <c r="D48" s="32">
        <f>IFERROR(INDEX(Cronograma!$P$3:$P$400,MATCH($A48,Cronograma!$A$3:$A$400,0)),"")</f>
        <v/>
      </c>
      <c r="E48" s="32">
        <f>IFERROR(INDEX(Cronograma!$M$3:$M$400,MATCH($A48,Cronograma!$A$3:$A$400,0)),"")</f>
        <v/>
      </c>
      <c r="F48" s="34" t="n"/>
      <c r="G48" s="34" t="n"/>
      <c r="H48" s="34" t="n"/>
      <c r="I48" s="35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6">
        <f>IF(F48&gt;0,G48/F48,"")</f>
        <v/>
      </c>
      <c r="S48" s="36">
        <f>IF(F48&gt;0,(J48+K48+L48+M48)/F48,"")</f>
        <v/>
      </c>
      <c r="T48" s="36">
        <f>IF(F48&gt;0,(L48+M48)/F48,"")</f>
        <v/>
      </c>
      <c r="U48" s="37" t="n"/>
    </row>
    <row r="49">
      <c r="A49" s="32">
        <f>Cronograma!A50</f>
        <v/>
      </c>
      <c r="B49" s="32">
        <f>IFERROR(INDEX(Cronograma!$L$3:$L$400,MATCH($A49,Cronograma!$A$3:$A$400,0)),"")</f>
        <v/>
      </c>
      <c r="C49" s="33">
        <f>IFERROR(INDEX(Cronograma!$D$3:$D$400,MATCH($A49,Cronograma!$A$3:$A$400,0)),"")</f>
        <v/>
      </c>
      <c r="D49" s="32">
        <f>IFERROR(INDEX(Cronograma!$P$3:$P$400,MATCH($A49,Cronograma!$A$3:$A$400,0)),"")</f>
        <v/>
      </c>
      <c r="E49" s="32">
        <f>IFERROR(INDEX(Cronograma!$M$3:$M$400,MATCH($A49,Cronograma!$A$3:$A$400,0)),"")</f>
        <v/>
      </c>
      <c r="F49" s="34" t="n"/>
      <c r="G49" s="34" t="n"/>
      <c r="H49" s="34" t="n"/>
      <c r="I49" s="35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6">
        <f>IF(F49&gt;0,G49/F49,"")</f>
        <v/>
      </c>
      <c r="S49" s="36">
        <f>IF(F49&gt;0,(J49+K49+L49+M49)/F49,"")</f>
        <v/>
      </c>
      <c r="T49" s="36">
        <f>IF(F49&gt;0,(L49+M49)/F49,"")</f>
        <v/>
      </c>
      <c r="U49" s="37" t="n"/>
    </row>
    <row r="50">
      <c r="A50" s="32">
        <f>Cronograma!A51</f>
        <v/>
      </c>
      <c r="B50" s="32">
        <f>IFERROR(INDEX(Cronograma!$L$3:$L$400,MATCH($A50,Cronograma!$A$3:$A$400,0)),"")</f>
        <v/>
      </c>
      <c r="C50" s="33">
        <f>IFERROR(INDEX(Cronograma!$D$3:$D$400,MATCH($A50,Cronograma!$A$3:$A$400,0)),"")</f>
        <v/>
      </c>
      <c r="D50" s="32">
        <f>IFERROR(INDEX(Cronograma!$P$3:$P$400,MATCH($A50,Cronograma!$A$3:$A$400,0)),"")</f>
        <v/>
      </c>
      <c r="E50" s="32">
        <f>IFERROR(INDEX(Cronograma!$M$3:$M$400,MATCH($A50,Cronograma!$A$3:$A$400,0)),"")</f>
        <v/>
      </c>
      <c r="F50" s="34" t="n"/>
      <c r="G50" s="34" t="n"/>
      <c r="H50" s="34" t="n"/>
      <c r="I50" s="35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6">
        <f>IF(F50&gt;0,G50/F50,"")</f>
        <v/>
      </c>
      <c r="S50" s="36">
        <f>IF(F50&gt;0,(J50+K50+L50+M50)/F50,"")</f>
        <v/>
      </c>
      <c r="T50" s="36">
        <f>IF(F50&gt;0,(L50+M50)/F50,"")</f>
        <v/>
      </c>
      <c r="U50" s="37" t="n"/>
    </row>
    <row r="51">
      <c r="A51" s="32">
        <f>Cronograma!A52</f>
        <v/>
      </c>
      <c r="B51" s="32">
        <f>IFERROR(INDEX(Cronograma!$L$3:$L$400,MATCH($A51,Cronograma!$A$3:$A$400,0)),"")</f>
        <v/>
      </c>
      <c r="C51" s="33">
        <f>IFERROR(INDEX(Cronograma!$D$3:$D$400,MATCH($A51,Cronograma!$A$3:$A$400,0)),"")</f>
        <v/>
      </c>
      <c r="D51" s="32">
        <f>IFERROR(INDEX(Cronograma!$P$3:$P$400,MATCH($A51,Cronograma!$A$3:$A$400,0)),"")</f>
        <v/>
      </c>
      <c r="E51" s="32">
        <f>IFERROR(INDEX(Cronograma!$M$3:$M$400,MATCH($A51,Cronograma!$A$3:$A$400,0)),"")</f>
        <v/>
      </c>
      <c r="F51" s="34" t="n"/>
      <c r="G51" s="34" t="n"/>
      <c r="H51" s="34" t="n"/>
      <c r="I51" s="35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6">
        <f>IF(F51&gt;0,G51/F51,"")</f>
        <v/>
      </c>
      <c r="S51" s="36">
        <f>IF(F51&gt;0,(J51+K51+L51+M51)/F51,"")</f>
        <v/>
      </c>
      <c r="T51" s="36">
        <f>IF(F51&gt;0,(L51+M51)/F51,"")</f>
        <v/>
      </c>
      <c r="U51" s="37" t="n"/>
    </row>
    <row r="52">
      <c r="A52" s="32">
        <f>Cronograma!A53</f>
        <v/>
      </c>
      <c r="B52" s="32">
        <f>IFERROR(INDEX(Cronograma!$L$3:$L$400,MATCH($A52,Cronograma!$A$3:$A$400,0)),"")</f>
        <v/>
      </c>
      <c r="C52" s="33">
        <f>IFERROR(INDEX(Cronograma!$D$3:$D$400,MATCH($A52,Cronograma!$A$3:$A$400,0)),"")</f>
        <v/>
      </c>
      <c r="D52" s="32">
        <f>IFERROR(INDEX(Cronograma!$P$3:$P$400,MATCH($A52,Cronograma!$A$3:$A$400,0)),"")</f>
        <v/>
      </c>
      <c r="E52" s="32">
        <f>IFERROR(INDEX(Cronograma!$M$3:$M$400,MATCH($A52,Cronograma!$A$3:$A$400,0)),"")</f>
        <v/>
      </c>
      <c r="F52" s="34" t="n"/>
      <c r="G52" s="34" t="n"/>
      <c r="H52" s="34" t="n"/>
      <c r="I52" s="35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6">
        <f>IF(F52&gt;0,G52/F52,"")</f>
        <v/>
      </c>
      <c r="S52" s="36">
        <f>IF(F52&gt;0,(J52+K52+L52+M52)/F52,"")</f>
        <v/>
      </c>
      <c r="T52" s="36">
        <f>IF(F52&gt;0,(L52+M52)/F52,"")</f>
        <v/>
      </c>
      <c r="U52" s="37" t="n"/>
    </row>
    <row r="53">
      <c r="A53" s="32">
        <f>Cronograma!A54</f>
        <v/>
      </c>
      <c r="B53" s="32">
        <f>IFERROR(INDEX(Cronograma!$L$3:$L$400,MATCH($A53,Cronograma!$A$3:$A$400,0)),"")</f>
        <v/>
      </c>
      <c r="C53" s="33">
        <f>IFERROR(INDEX(Cronograma!$D$3:$D$400,MATCH($A53,Cronograma!$A$3:$A$400,0)),"")</f>
        <v/>
      </c>
      <c r="D53" s="32">
        <f>IFERROR(INDEX(Cronograma!$P$3:$P$400,MATCH($A53,Cronograma!$A$3:$A$400,0)),"")</f>
        <v/>
      </c>
      <c r="E53" s="32">
        <f>IFERROR(INDEX(Cronograma!$M$3:$M$400,MATCH($A53,Cronograma!$A$3:$A$400,0)),"")</f>
        <v/>
      </c>
      <c r="F53" s="34" t="n"/>
      <c r="G53" s="34" t="n"/>
      <c r="H53" s="34" t="n"/>
      <c r="I53" s="35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6">
        <f>IF(F53&gt;0,G53/F53,"")</f>
        <v/>
      </c>
      <c r="S53" s="36">
        <f>IF(F53&gt;0,(J53+K53+L53+M53)/F53,"")</f>
        <v/>
      </c>
      <c r="T53" s="36">
        <f>IF(F53&gt;0,(L53+M53)/F53,"")</f>
        <v/>
      </c>
      <c r="U53" s="37" t="n"/>
    </row>
    <row r="54">
      <c r="A54" s="32">
        <f>Cronograma!A55</f>
        <v/>
      </c>
      <c r="B54" s="32">
        <f>IFERROR(INDEX(Cronograma!$L$3:$L$400,MATCH($A54,Cronograma!$A$3:$A$400,0)),"")</f>
        <v/>
      </c>
      <c r="C54" s="33">
        <f>IFERROR(INDEX(Cronograma!$D$3:$D$400,MATCH($A54,Cronograma!$A$3:$A$400,0)),"")</f>
        <v/>
      </c>
      <c r="D54" s="32">
        <f>IFERROR(INDEX(Cronograma!$P$3:$P$400,MATCH($A54,Cronograma!$A$3:$A$400,0)),"")</f>
        <v/>
      </c>
      <c r="E54" s="32">
        <f>IFERROR(INDEX(Cronograma!$M$3:$M$400,MATCH($A54,Cronograma!$A$3:$A$400,0)),"")</f>
        <v/>
      </c>
      <c r="F54" s="34" t="n"/>
      <c r="G54" s="34" t="n"/>
      <c r="H54" s="34" t="n"/>
      <c r="I54" s="35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6">
        <f>IF(F54&gt;0,G54/F54,"")</f>
        <v/>
      </c>
      <c r="S54" s="36">
        <f>IF(F54&gt;0,(J54+K54+L54+M54)/F54,"")</f>
        <v/>
      </c>
      <c r="T54" s="36">
        <f>IF(F54&gt;0,(L54+M54)/F54,"")</f>
        <v/>
      </c>
      <c r="U54" s="37" t="n"/>
    </row>
    <row r="55">
      <c r="A55" s="32">
        <f>Cronograma!A56</f>
        <v/>
      </c>
      <c r="B55" s="32">
        <f>IFERROR(INDEX(Cronograma!$L$3:$L$400,MATCH($A55,Cronograma!$A$3:$A$400,0)),"")</f>
        <v/>
      </c>
      <c r="C55" s="33">
        <f>IFERROR(INDEX(Cronograma!$D$3:$D$400,MATCH($A55,Cronograma!$A$3:$A$400,0)),"")</f>
        <v/>
      </c>
      <c r="D55" s="32">
        <f>IFERROR(INDEX(Cronograma!$P$3:$P$400,MATCH($A55,Cronograma!$A$3:$A$400,0)),"")</f>
        <v/>
      </c>
      <c r="E55" s="32">
        <f>IFERROR(INDEX(Cronograma!$M$3:$M$400,MATCH($A55,Cronograma!$A$3:$A$400,0)),"")</f>
        <v/>
      </c>
      <c r="F55" s="34" t="n"/>
      <c r="G55" s="34" t="n"/>
      <c r="H55" s="34" t="n"/>
      <c r="I55" s="35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6">
        <f>IF(F55&gt;0,G55/F55,"")</f>
        <v/>
      </c>
      <c r="S55" s="36">
        <f>IF(F55&gt;0,(J55+K55+L55+M55)/F55,"")</f>
        <v/>
      </c>
      <c r="T55" s="36">
        <f>IF(F55&gt;0,(L55+M55)/F55,"")</f>
        <v/>
      </c>
      <c r="U55" s="37" t="n"/>
    </row>
    <row r="56">
      <c r="A56" s="32">
        <f>Cronograma!A57</f>
        <v/>
      </c>
      <c r="B56" s="32">
        <f>IFERROR(INDEX(Cronograma!$L$3:$L$400,MATCH($A56,Cronograma!$A$3:$A$400,0)),"")</f>
        <v/>
      </c>
      <c r="C56" s="33">
        <f>IFERROR(INDEX(Cronograma!$D$3:$D$400,MATCH($A56,Cronograma!$A$3:$A$400,0)),"")</f>
        <v/>
      </c>
      <c r="D56" s="32">
        <f>IFERROR(INDEX(Cronograma!$P$3:$P$400,MATCH($A56,Cronograma!$A$3:$A$400,0)),"")</f>
        <v/>
      </c>
      <c r="E56" s="32">
        <f>IFERROR(INDEX(Cronograma!$M$3:$M$400,MATCH($A56,Cronograma!$A$3:$A$400,0)),"")</f>
        <v/>
      </c>
      <c r="F56" s="34" t="n"/>
      <c r="G56" s="34" t="n"/>
      <c r="H56" s="34" t="n"/>
      <c r="I56" s="35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6">
        <f>IF(F56&gt;0,G56/F56,"")</f>
        <v/>
      </c>
      <c r="S56" s="36">
        <f>IF(F56&gt;0,(J56+K56+L56+M56)/F56,"")</f>
        <v/>
      </c>
      <c r="T56" s="36">
        <f>IF(F56&gt;0,(L56+M56)/F56,"")</f>
        <v/>
      </c>
      <c r="U56" s="37" t="n"/>
    </row>
    <row r="57">
      <c r="A57" s="32">
        <f>Cronograma!A58</f>
        <v/>
      </c>
      <c r="B57" s="32">
        <f>IFERROR(INDEX(Cronograma!$L$3:$L$400,MATCH($A57,Cronograma!$A$3:$A$400,0)),"")</f>
        <v/>
      </c>
      <c r="C57" s="33">
        <f>IFERROR(INDEX(Cronograma!$D$3:$D$400,MATCH($A57,Cronograma!$A$3:$A$400,0)),"")</f>
        <v/>
      </c>
      <c r="D57" s="32">
        <f>IFERROR(INDEX(Cronograma!$P$3:$P$400,MATCH($A57,Cronograma!$A$3:$A$400,0)),"")</f>
        <v/>
      </c>
      <c r="E57" s="32">
        <f>IFERROR(INDEX(Cronograma!$M$3:$M$400,MATCH($A57,Cronograma!$A$3:$A$400,0)),"")</f>
        <v/>
      </c>
      <c r="F57" s="34" t="n"/>
      <c r="G57" s="34" t="n"/>
      <c r="H57" s="34" t="n"/>
      <c r="I57" s="35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6">
        <f>IF(F57&gt;0,G57/F57,"")</f>
        <v/>
      </c>
      <c r="S57" s="36">
        <f>IF(F57&gt;0,(J57+K57+L57+M57)/F57,"")</f>
        <v/>
      </c>
      <c r="T57" s="36">
        <f>IF(F57&gt;0,(L57+M57)/F57,"")</f>
        <v/>
      </c>
      <c r="U57" s="37" t="n"/>
    </row>
    <row r="58">
      <c r="A58" s="32">
        <f>Cronograma!A59</f>
        <v/>
      </c>
      <c r="B58" s="32">
        <f>IFERROR(INDEX(Cronograma!$L$3:$L$400,MATCH($A58,Cronograma!$A$3:$A$400,0)),"")</f>
        <v/>
      </c>
      <c r="C58" s="33">
        <f>IFERROR(INDEX(Cronograma!$D$3:$D$400,MATCH($A58,Cronograma!$A$3:$A$400,0)),"")</f>
        <v/>
      </c>
      <c r="D58" s="32">
        <f>IFERROR(INDEX(Cronograma!$P$3:$P$400,MATCH($A58,Cronograma!$A$3:$A$400,0)),"")</f>
        <v/>
      </c>
      <c r="E58" s="32">
        <f>IFERROR(INDEX(Cronograma!$M$3:$M$400,MATCH($A58,Cronograma!$A$3:$A$400,0)),"")</f>
        <v/>
      </c>
      <c r="F58" s="34" t="n"/>
      <c r="G58" s="34" t="n"/>
      <c r="H58" s="34" t="n"/>
      <c r="I58" s="35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6">
        <f>IF(F58&gt;0,G58/F58,"")</f>
        <v/>
      </c>
      <c r="S58" s="36">
        <f>IF(F58&gt;0,(J58+K58+L58+M58)/F58,"")</f>
        <v/>
      </c>
      <c r="T58" s="36">
        <f>IF(F58&gt;0,(L58+M58)/F58,"")</f>
        <v/>
      </c>
      <c r="U58" s="37" t="n"/>
    </row>
    <row r="59">
      <c r="A59" s="32">
        <f>Cronograma!A60</f>
        <v/>
      </c>
      <c r="B59" s="32">
        <f>IFERROR(INDEX(Cronograma!$L$3:$L$400,MATCH($A59,Cronograma!$A$3:$A$400,0)),"")</f>
        <v/>
      </c>
      <c r="C59" s="33">
        <f>IFERROR(INDEX(Cronograma!$D$3:$D$400,MATCH($A59,Cronograma!$A$3:$A$400,0)),"")</f>
        <v/>
      </c>
      <c r="D59" s="32">
        <f>IFERROR(INDEX(Cronograma!$P$3:$P$400,MATCH($A59,Cronograma!$A$3:$A$400,0)),"")</f>
        <v/>
      </c>
      <c r="E59" s="32">
        <f>IFERROR(INDEX(Cronograma!$M$3:$M$400,MATCH($A59,Cronograma!$A$3:$A$400,0)),"")</f>
        <v/>
      </c>
      <c r="F59" s="34" t="n"/>
      <c r="G59" s="34" t="n"/>
      <c r="H59" s="34" t="n"/>
      <c r="I59" s="35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6">
        <f>IF(F59&gt;0,G59/F59,"")</f>
        <v/>
      </c>
      <c r="S59" s="36">
        <f>IF(F59&gt;0,(J59+K59+L59+M59)/F59,"")</f>
        <v/>
      </c>
      <c r="T59" s="36">
        <f>IF(F59&gt;0,(L59+M59)/F59,"")</f>
        <v/>
      </c>
      <c r="U59" s="37" t="n"/>
    </row>
    <row r="60">
      <c r="A60" s="32">
        <f>Cronograma!A61</f>
        <v/>
      </c>
      <c r="B60" s="32">
        <f>IFERROR(INDEX(Cronograma!$L$3:$L$400,MATCH($A60,Cronograma!$A$3:$A$400,0)),"")</f>
        <v/>
      </c>
      <c r="C60" s="33">
        <f>IFERROR(INDEX(Cronograma!$D$3:$D$400,MATCH($A60,Cronograma!$A$3:$A$400,0)),"")</f>
        <v/>
      </c>
      <c r="D60" s="32">
        <f>IFERROR(INDEX(Cronograma!$P$3:$P$400,MATCH($A60,Cronograma!$A$3:$A$400,0)),"")</f>
        <v/>
      </c>
      <c r="E60" s="32">
        <f>IFERROR(INDEX(Cronograma!$M$3:$M$400,MATCH($A60,Cronograma!$A$3:$A$400,0)),"")</f>
        <v/>
      </c>
      <c r="F60" s="34" t="n"/>
      <c r="G60" s="34" t="n"/>
      <c r="H60" s="34" t="n"/>
      <c r="I60" s="35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6">
        <f>IF(F60&gt;0,G60/F60,"")</f>
        <v/>
      </c>
      <c r="S60" s="36">
        <f>IF(F60&gt;0,(J60+K60+L60+M60)/F60,"")</f>
        <v/>
      </c>
      <c r="T60" s="36">
        <f>IF(F60&gt;0,(L60+M60)/F60,"")</f>
        <v/>
      </c>
      <c r="U60" s="37" t="n"/>
    </row>
    <row r="61">
      <c r="A61" s="32">
        <f>Cronograma!A62</f>
        <v/>
      </c>
      <c r="B61" s="32">
        <f>IFERROR(INDEX(Cronograma!$L$3:$L$400,MATCH($A61,Cronograma!$A$3:$A$400,0)),"")</f>
        <v/>
      </c>
      <c r="C61" s="33">
        <f>IFERROR(INDEX(Cronograma!$D$3:$D$400,MATCH($A61,Cronograma!$A$3:$A$400,0)),"")</f>
        <v/>
      </c>
      <c r="D61" s="32">
        <f>IFERROR(INDEX(Cronograma!$P$3:$P$400,MATCH($A61,Cronograma!$A$3:$A$400,0)),"")</f>
        <v/>
      </c>
      <c r="E61" s="32">
        <f>IFERROR(INDEX(Cronograma!$M$3:$M$400,MATCH($A61,Cronograma!$A$3:$A$400,0)),"")</f>
        <v/>
      </c>
      <c r="F61" s="34" t="n"/>
      <c r="G61" s="34" t="n"/>
      <c r="H61" s="34" t="n"/>
      <c r="I61" s="35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6">
        <f>IF(F61&gt;0,G61/F61,"")</f>
        <v/>
      </c>
      <c r="S61" s="36">
        <f>IF(F61&gt;0,(J61+K61+L61+M61)/F61,"")</f>
        <v/>
      </c>
      <c r="T61" s="36">
        <f>IF(F61&gt;0,(L61+M61)/F61,"")</f>
        <v/>
      </c>
      <c r="U61" s="37" t="n"/>
    </row>
    <row r="62">
      <c r="A62" s="32">
        <f>Cronograma!A63</f>
        <v/>
      </c>
      <c r="B62" s="32">
        <f>IFERROR(INDEX(Cronograma!$L$3:$L$400,MATCH($A62,Cronograma!$A$3:$A$400,0)),"")</f>
        <v/>
      </c>
      <c r="C62" s="33">
        <f>IFERROR(INDEX(Cronograma!$D$3:$D$400,MATCH($A62,Cronograma!$A$3:$A$400,0)),"")</f>
        <v/>
      </c>
      <c r="D62" s="32">
        <f>IFERROR(INDEX(Cronograma!$P$3:$P$400,MATCH($A62,Cronograma!$A$3:$A$400,0)),"")</f>
        <v/>
      </c>
      <c r="E62" s="32">
        <f>IFERROR(INDEX(Cronograma!$M$3:$M$400,MATCH($A62,Cronograma!$A$3:$A$400,0)),"")</f>
        <v/>
      </c>
      <c r="F62" s="34" t="n"/>
      <c r="G62" s="34" t="n"/>
      <c r="H62" s="34" t="n"/>
      <c r="I62" s="35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6">
        <f>IF(F62&gt;0,G62/F62,"")</f>
        <v/>
      </c>
      <c r="S62" s="36">
        <f>IF(F62&gt;0,(J62+K62+L62+M62)/F62,"")</f>
        <v/>
      </c>
      <c r="T62" s="36">
        <f>IF(F62&gt;0,(L62+M62)/F62,"")</f>
        <v/>
      </c>
      <c r="U62" s="37" t="n"/>
    </row>
    <row r="63">
      <c r="A63" s="32">
        <f>Cronograma!A64</f>
        <v/>
      </c>
      <c r="B63" s="32">
        <f>IFERROR(INDEX(Cronograma!$L$3:$L$400,MATCH($A63,Cronograma!$A$3:$A$400,0)),"")</f>
        <v/>
      </c>
      <c r="C63" s="33">
        <f>IFERROR(INDEX(Cronograma!$D$3:$D$400,MATCH($A63,Cronograma!$A$3:$A$400,0)),"")</f>
        <v/>
      </c>
      <c r="D63" s="32">
        <f>IFERROR(INDEX(Cronograma!$P$3:$P$400,MATCH($A63,Cronograma!$A$3:$A$400,0)),"")</f>
        <v/>
      </c>
      <c r="E63" s="32">
        <f>IFERROR(INDEX(Cronograma!$M$3:$M$400,MATCH($A63,Cronograma!$A$3:$A$400,0)),"")</f>
        <v/>
      </c>
      <c r="F63" s="34" t="n"/>
      <c r="G63" s="34" t="n"/>
      <c r="H63" s="34" t="n"/>
      <c r="I63" s="35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6">
        <f>IF(F63&gt;0,G63/F63,"")</f>
        <v/>
      </c>
      <c r="S63" s="36">
        <f>IF(F63&gt;0,(J63+K63+L63+M63)/F63,"")</f>
        <v/>
      </c>
      <c r="T63" s="36">
        <f>IF(F63&gt;0,(L63+M63)/F63,"")</f>
        <v/>
      </c>
      <c r="U63" s="37" t="n"/>
    </row>
    <row r="64">
      <c r="A64" s="32">
        <f>Cronograma!A65</f>
        <v/>
      </c>
      <c r="B64" s="32">
        <f>IFERROR(INDEX(Cronograma!$L$3:$L$400,MATCH($A64,Cronograma!$A$3:$A$400,0)),"")</f>
        <v/>
      </c>
      <c r="C64" s="33">
        <f>IFERROR(INDEX(Cronograma!$D$3:$D$400,MATCH($A64,Cronograma!$A$3:$A$400,0)),"")</f>
        <v/>
      </c>
      <c r="D64" s="32">
        <f>IFERROR(INDEX(Cronograma!$P$3:$P$400,MATCH($A64,Cronograma!$A$3:$A$400,0)),"")</f>
        <v/>
      </c>
      <c r="E64" s="32">
        <f>IFERROR(INDEX(Cronograma!$M$3:$M$400,MATCH($A64,Cronograma!$A$3:$A$400,0)),"")</f>
        <v/>
      </c>
      <c r="F64" s="34" t="n"/>
      <c r="G64" s="34" t="n"/>
      <c r="H64" s="34" t="n"/>
      <c r="I64" s="35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6">
        <f>IF(F64&gt;0,G64/F64,"")</f>
        <v/>
      </c>
      <c r="S64" s="36">
        <f>IF(F64&gt;0,(J64+K64+L64+M64)/F64,"")</f>
        <v/>
      </c>
      <c r="T64" s="36">
        <f>IF(F64&gt;0,(L64+M64)/F64,"")</f>
        <v/>
      </c>
      <c r="U64" s="37" t="n"/>
    </row>
    <row r="65">
      <c r="A65" s="32">
        <f>Cronograma!A66</f>
        <v/>
      </c>
      <c r="B65" s="32">
        <f>IFERROR(INDEX(Cronograma!$L$3:$L$400,MATCH($A65,Cronograma!$A$3:$A$400,0)),"")</f>
        <v/>
      </c>
      <c r="C65" s="33">
        <f>IFERROR(INDEX(Cronograma!$D$3:$D$400,MATCH($A65,Cronograma!$A$3:$A$400,0)),"")</f>
        <v/>
      </c>
      <c r="D65" s="32">
        <f>IFERROR(INDEX(Cronograma!$P$3:$P$400,MATCH($A65,Cronograma!$A$3:$A$400,0)),"")</f>
        <v/>
      </c>
      <c r="E65" s="32">
        <f>IFERROR(INDEX(Cronograma!$M$3:$M$400,MATCH($A65,Cronograma!$A$3:$A$400,0)),"")</f>
        <v/>
      </c>
      <c r="F65" s="34" t="n"/>
      <c r="G65" s="34" t="n"/>
      <c r="H65" s="34" t="n"/>
      <c r="I65" s="35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6">
        <f>IF(F65&gt;0,G65/F65,"")</f>
        <v/>
      </c>
      <c r="S65" s="36">
        <f>IF(F65&gt;0,(J65+K65+L65+M65)/F65,"")</f>
        <v/>
      </c>
      <c r="T65" s="36">
        <f>IF(F65&gt;0,(L65+M65)/F65,"")</f>
        <v/>
      </c>
      <c r="U65" s="37" t="n"/>
    </row>
    <row r="66">
      <c r="A66" s="32">
        <f>Cronograma!A67</f>
        <v/>
      </c>
      <c r="B66" s="32">
        <f>IFERROR(INDEX(Cronograma!$L$3:$L$400,MATCH($A66,Cronograma!$A$3:$A$400,0)),"")</f>
        <v/>
      </c>
      <c r="C66" s="33">
        <f>IFERROR(INDEX(Cronograma!$D$3:$D$400,MATCH($A66,Cronograma!$A$3:$A$400,0)),"")</f>
        <v/>
      </c>
      <c r="D66" s="32">
        <f>IFERROR(INDEX(Cronograma!$P$3:$P$400,MATCH($A66,Cronograma!$A$3:$A$400,0)),"")</f>
        <v/>
      </c>
      <c r="E66" s="32">
        <f>IFERROR(INDEX(Cronograma!$M$3:$M$400,MATCH($A66,Cronograma!$A$3:$A$400,0)),"")</f>
        <v/>
      </c>
      <c r="F66" s="34" t="n"/>
      <c r="G66" s="34" t="n"/>
      <c r="H66" s="34" t="n"/>
      <c r="I66" s="35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6">
        <f>IF(F66&gt;0,G66/F66,"")</f>
        <v/>
      </c>
      <c r="S66" s="36">
        <f>IF(F66&gt;0,(J66+K66+L66+M66)/F66,"")</f>
        <v/>
      </c>
      <c r="T66" s="36">
        <f>IF(F66&gt;0,(L66+M66)/F66,"")</f>
        <v/>
      </c>
      <c r="U66" s="37" t="n"/>
    </row>
  </sheetData>
  <autoFilter ref="A1:U6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D6D3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70" customWidth="1" min="3" max="3"/>
  </cols>
  <sheetData>
    <row r="1">
      <c r="A1" s="24" t="inlineStr">
        <is>
          <t>Parâmetros do cronograma</t>
        </is>
      </c>
    </row>
    <row r="3">
      <c r="A3" s="27" t="inlineStr">
        <is>
          <t>Data de início (segunda-feira da semana 1)</t>
        </is>
      </c>
      <c r="B3" s="38" t="n">
        <v>46300</v>
      </c>
      <c r="C3" s="2" t="inlineStr">
        <is>
          <t>Edite esta data: todas as datas do cronograma se ajustam sozinhas.</t>
        </is>
      </c>
    </row>
    <row r="4">
      <c r="A4" s="27" t="inlineStr">
        <is>
          <t>Horário padrão de publicação</t>
        </is>
      </c>
      <c r="B4" s="39" t="n">
        <v>0.3125</v>
      </c>
      <c r="C4" s="2" t="inlineStr">
        <is>
          <t>Plano: antes do expediente do RH. Revisar pelo painel de audiência após 4 semanas.</t>
        </is>
      </c>
    </row>
    <row r="5">
      <c r="A5" s="27" t="inlineStr">
        <is>
          <t>Dias úteis de antecedência para produção</t>
        </is>
      </c>
      <c r="B5" s="40" t="n">
        <v>3</v>
      </c>
      <c r="C5" s="2" t="inlineStr">
        <is>
          <t>Prazo de produção = data de publicação menos estes dias úteis.</t>
        </is>
      </c>
    </row>
    <row r="6">
      <c r="A6" s="27" t="inlineStr">
        <is>
          <t>Dias úteis de antecedência para revisão técnica</t>
        </is>
      </c>
      <c r="B6" s="40" t="n">
        <v>5</v>
      </c>
      <c r="C6" s="2" t="inlineStr">
        <is>
          <t>Conteúdo clínico entra em revisão antes deste prazo.</t>
        </is>
      </c>
    </row>
    <row r="9">
      <c r="A9" s="41" t="inlineStr">
        <is>
          <t>Metas do mix editorial (plano, seção 5)</t>
        </is>
      </c>
    </row>
    <row r="10">
      <c r="A10" s="26" t="inlineStr">
        <is>
          <t>Viver melhor</t>
        </is>
      </c>
      <c r="B10" s="42" t="n">
        <v>0.35</v>
      </c>
      <c r="C10" s="2" t="inlineStr">
        <is>
          <t>Fonte: Plano Estratégico de Marketing Digital FAIR HEALTH (90 dias), seção 5.</t>
        </is>
      </c>
    </row>
    <row r="11">
      <c r="A11" s="26" t="inlineStr">
        <is>
          <t>O cuidado começa pela pessoa</t>
        </is>
      </c>
      <c r="B11" s="42" t="n">
        <v>0.2</v>
      </c>
    </row>
    <row r="12">
      <c r="A12" s="26" t="inlineStr">
        <is>
          <t>Saúde dentro das empresas</t>
        </is>
      </c>
      <c r="B12" s="42" t="n">
        <v>0.25</v>
      </c>
    </row>
    <row r="13">
      <c r="A13" s="26" t="inlineStr">
        <is>
          <t>É assim que a FAIR HEALTH cuida</t>
        </is>
      </c>
      <c r="B13" s="42" t="n">
        <v>0.2</v>
      </c>
    </row>
    <row r="15">
      <c r="A15" s="41" t="inlineStr">
        <is>
          <t>Fases (plano, seção 14)</t>
        </is>
      </c>
    </row>
    <row r="16">
      <c r="A16" s="26" t="inlineStr">
        <is>
          <t>Dias 1–30</t>
        </is>
      </c>
      <c r="B16" s="26" t="inlineStr">
        <is>
          <t>Reconhecimento e confiança</t>
        </is>
      </c>
    </row>
    <row r="17">
      <c r="A17" s="26" t="inlineStr">
        <is>
          <t>Dias 31–60</t>
        </is>
      </c>
      <c r="B17" s="26" t="inlineStr">
        <is>
          <t>Autoridade</t>
        </is>
      </c>
    </row>
    <row r="18">
      <c r="A18" s="26" t="inlineStr">
        <is>
          <t>Dias 61–90</t>
        </is>
      </c>
      <c r="B18" s="26" t="inlineStr">
        <is>
          <t>Prova e conversão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D6D3"/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8" customWidth="1" min="4" max="4"/>
    <col width="34" customWidth="1" min="5" max="5"/>
    <col width="46" customWidth="1" min="6" max="6"/>
    <col width="60" customWidth="1" min="7" max="7"/>
  </cols>
  <sheetData>
    <row r="1">
      <c r="A1" s="25" t="inlineStr">
        <is>
          <t>Formato</t>
        </is>
      </c>
      <c r="B1" s="25" t="inlineStr">
        <is>
          <t>Proporção / tamanho</t>
        </is>
      </c>
      <c r="C1" s="25" t="inlineStr">
        <is>
          <t>Duração / nº de peças</t>
        </is>
      </c>
      <c r="D1" s="25" t="inlineStr">
        <is>
          <t>Área segura e texto</t>
        </is>
      </c>
      <c r="E1" s="25" t="inlineStr">
        <is>
          <t>Legenda e hashtags</t>
        </is>
      </c>
      <c r="F1" s="25" t="inlineStr">
        <is>
          <t>Boas práticas de distribuição</t>
        </is>
      </c>
      <c r="G1" s="25" t="inlineStr">
        <is>
          <t>Resumo (aparece no cronograma)</t>
        </is>
      </c>
    </row>
    <row r="2" ht="90" customHeight="1">
      <c r="A2" s="43" t="inlineStr">
        <is>
          <t>Reel</t>
        </is>
      </c>
      <c r="B2" s="17" t="inlineStr">
        <is>
          <t>9:16 · 1080x1920 px · capa 1080x1920 (o recorte da grade é 4:5 central)</t>
        </is>
      </c>
      <c r="C2" s="17" t="inlineStr">
        <is>
          <t>15–45 s (ideal) · até 3 min</t>
        </is>
      </c>
      <c r="D2" s="17" t="inlineStr">
        <is>
          <t>Texto na tela desde o 1º quadro. Deixar livres ~250 px no topo e ~350 px na base e a faixa direita (botões).</t>
        </is>
      </c>
      <c r="E2" s="17" t="inlineStr">
        <is>
          <t>Até 2.200 caracteres; ~125 aparecem antes do "mais". 3–5 hashtags, a 1ª #fairhealth.</t>
        </is>
      </c>
      <c r="F2" s="17" t="inlineStr">
        <is>
          <t>Gancho em 2 s; troca de plano a cada 3–4 s; legenda embutida; terminar ecoando o gancho; áudio original ou da biblioteca; nunca com marca d’água de outra rede.</t>
        </is>
      </c>
      <c r="G2" s="17">
        <f>B2&amp;" | "&amp;C2&amp;" | "&amp;D2</f>
        <v/>
      </c>
    </row>
    <row r="3" ht="90" customHeight="1">
      <c r="A3" s="43" t="inlineStr">
        <is>
          <t>Carrossel</t>
        </is>
      </c>
      <c r="B3" s="17" t="inlineStr">
        <is>
          <t>4:5 · 1080x1350 px</t>
        </is>
      </c>
      <c r="C3" s="17" t="inlineStr">
        <is>
          <t>6–10 slides (máx. 20)</t>
        </is>
      </c>
      <c r="D3" s="17" t="inlineStr">
        <is>
          <t>Margem de 120 px; capa com até 6 palavras grandes; slide 2 compreensível sozinho; @fairhealth.br e numeração (3/8) em todos.</t>
        </is>
      </c>
      <c r="E3" s="17" t="inlineStr">
        <is>
          <t>Legenda complementa a capa; termo de busca no início; 3–5 hashtags. Alt text na capa.</t>
        </is>
      </c>
      <c r="F3" s="17" t="inlineStr">
        <is>
          <t>Slide-resumo salvável antes do CTA; um único CTA no último slide.</t>
        </is>
      </c>
      <c r="G3" s="17">
        <f>B3&amp;" | "&amp;C3&amp;" | "&amp;D3</f>
        <v/>
      </c>
    </row>
    <row r="4" ht="90" customHeight="1">
      <c r="A4" s="43" t="inlineStr">
        <is>
          <t>Foto única</t>
        </is>
      </c>
      <c r="B4" s="17" t="inlineStr">
        <is>
          <t>4:5 · 1080x1350 px</t>
        </is>
      </c>
      <c r="C4" s="17" t="inlineStr">
        <is>
          <t>1 imagem</t>
        </is>
      </c>
      <c r="D4" s="17" t="inlineStr">
        <is>
          <t>Texto curto; margem de 120 px.</t>
        </is>
      </c>
      <c r="E4" s="17" t="inlineStr">
        <is>
          <t>Legenda faz o trabalho do conteúdo (1ª linha = gancho).</t>
        </is>
      </c>
      <c r="F4" s="17" t="inlineStr">
        <is>
          <t>Usar para manifesto, frases, retratos do time.</t>
        </is>
      </c>
      <c r="G4" s="17">
        <f>B4&amp;" | "&amp;C4&amp;" | "&amp;D4</f>
        <v/>
      </c>
    </row>
    <row r="5" ht="90" customHeight="1">
      <c r="A5" s="43" t="inlineStr">
        <is>
          <t>Stories</t>
        </is>
      </c>
      <c r="B5" s="17" t="inlineStr">
        <is>
          <t>9:16 · 1080x1920 px</t>
        </is>
      </c>
      <c r="C5" s="17" t="inlineStr">
        <is>
          <t>3–5 quadros por dia · até 60 s por quadro</t>
        </is>
      </c>
      <c r="D5" s="17" t="inlineStr">
        <is>
          <t>Livres ~250 px no topo e ~340 px na base (figurinhas e resposta).</t>
        </is>
      </c>
      <c r="E5" s="17" t="inlineStr">
        <is>
          <t>Sem legenda; usar figurinhas (enquete, pergunta, controle deslizante, link).</t>
        </is>
      </c>
      <c r="F5" s="17" t="inlineStr">
        <is>
          <t>Menos perfeição, mais presença; repostar o post do dia; responder perguntas.</t>
        </is>
      </c>
      <c r="G5" s="17">
        <f>B5&amp;" | "&amp;C5&amp;" | "&amp;D5</f>
        <v/>
      </c>
    </row>
    <row r="6" ht="90" customHeight="1">
      <c r="A6" s="43" t="inlineStr">
        <is>
          <t>LinkedIn: texto</t>
        </is>
      </c>
      <c r="B6" s="17" t="inlineStr">
        <is>
          <t>Imagem opcional 1080x1350 ou 1200x1200</t>
        </is>
      </c>
      <c r="C6" s="17" t="inlineStr">
        <is>
          <t>1 post</t>
        </is>
      </c>
      <c r="D6" s="17" t="inlineStr">
        <is>
          <t>—</t>
        </is>
      </c>
      <c r="E6" s="17" t="inlineStr">
        <is>
          <t>Até 3.000 caracteres; ~210 aparecem antes do "ver mais". 3 hashtags no máximo.</t>
        </is>
      </c>
      <c r="F6" s="17" t="inlineStr">
        <is>
          <t>Sem link no corpo (colocar nos comentários, se necessário); pergunta que peça experiência; responder na 1ª hora.</t>
        </is>
      </c>
      <c r="G6" s="17">
        <f>B6&amp;" | "&amp;C6&amp;" | "&amp;D6</f>
        <v/>
      </c>
    </row>
    <row r="7" ht="90" customHeight="1">
      <c r="A7" s="43" t="inlineStr">
        <is>
          <t>LinkedIn: PDF</t>
        </is>
      </c>
      <c r="B7" s="17" t="inlineStr">
        <is>
          <t>PDF 4:5 (1080x1350) ou 1:1</t>
        </is>
      </c>
      <c r="C7" s="17" t="inlineStr">
        <is>
          <t>6–12 páginas</t>
        </is>
      </c>
      <c r="D7" s="17" t="inlineStr">
        <is>
          <t>Mesmas regras do carrossel.</t>
        </is>
      </c>
      <c r="E7" s="17" t="inlineStr">
        <is>
          <t>Texto do post contextualiza e convida a ler; título do documento claro.</t>
        </is>
      </c>
      <c r="F7" s="17" t="inlineStr">
        <is>
          <t>Reaproveitar carrosséis do Instagram com enquadramento de gestão.</t>
        </is>
      </c>
      <c r="G7" s="17">
        <f>B7&amp;" | "&amp;C7&amp;" | "&amp;D7</f>
        <v/>
      </c>
    </row>
    <row r="8" ht="90" customHeight="1">
      <c r="A8" s="43" t="inlineStr">
        <is>
          <t>LinkedIn: vídeo</t>
        </is>
      </c>
      <c r="B8" s="17" t="inlineStr">
        <is>
          <t>4:5 ou 1:1 (feed) · 9:16 aceito</t>
        </is>
      </c>
      <c r="C8" s="17" t="inlineStr">
        <is>
          <t>30–90 s</t>
        </is>
      </c>
      <c r="D8" s="17" t="inlineStr">
        <is>
          <t>Legenda embutida (maioria assiste sem som).</t>
        </is>
      </c>
      <c r="E8" s="17" t="inlineStr">
        <is>
          <t>Texto com o ponto principal nas 2 primeiras linhas.</t>
        </is>
      </c>
      <c r="F8" s="17" t="inlineStr">
        <is>
          <t>Preferir publicação no perfil pessoal do profissional.</t>
        </is>
      </c>
      <c r="G8" s="17">
        <f>B8&amp;" | "&amp;C8&amp;" | "&amp;D8</f>
        <v/>
      </c>
    </row>
    <row r="9" ht="90" customHeight="1">
      <c r="A9" s="43" t="inlineStr">
        <is>
          <t>Facebook: cross-post</t>
        </is>
      </c>
      <c r="B9" s="17" t="inlineStr">
        <is>
          <t>Igual ao Instagram</t>
        </is>
      </c>
      <c r="C9" s="17" t="inlineStr">
        <is>
          <t>Igual ao Instagram</t>
        </is>
      </c>
      <c r="D9" s="17" t="inlineStr">
        <is>
          <t>—</t>
        </is>
      </c>
      <c r="E9" s="17" t="inlineStr">
        <is>
          <t>Mesma legenda; pode ser mais explicativa.</t>
        </is>
      </c>
      <c r="F9" s="17" t="inlineStr">
        <is>
          <t>Publicação cruzada a partir do Instagram (Meta Business Suite).</t>
        </is>
      </c>
      <c r="G9" s="17">
        <f>B9&amp;" | "&amp;C9&amp;" | "&amp;D9</f>
        <v/>
      </c>
    </row>
    <row r="11">
      <c r="A11" s="2" t="inlineStr">
        <is>
          <t>Nota: medidas e limites conforme as plataformas em set/2026. Revisar a cada trimestre, porque mudam com frequência.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D6D3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</cols>
  <sheetData>
    <row r="1">
      <c r="A1" s="2" t="inlineStr">
        <is>
          <t>Listas usadas nos menus suspensos. Para incluir uma opção, escreva abaixo da última da coluna (o menu lê até a linha 30).</t>
        </is>
      </c>
    </row>
    <row r="2">
      <c r="A2" s="25" t="inlineStr">
        <is>
          <t>Status</t>
        </is>
      </c>
      <c r="B2" s="25" t="inlineStr">
        <is>
          <t>Formato</t>
        </is>
      </c>
      <c r="C2" s="25" t="inlineStr">
        <is>
          <t>Série</t>
        </is>
      </c>
      <c r="D2" s="25" t="inlineStr">
        <is>
          <t>Território</t>
        </is>
      </c>
      <c r="E2" s="25" t="inlineStr">
        <is>
          <t>Objetivo</t>
        </is>
      </c>
      <c r="F2" s="25" t="inlineStr">
        <is>
          <t>Público</t>
        </is>
      </c>
      <c r="G2" s="25" t="inlineStr">
        <is>
          <t>Linha visual</t>
        </is>
      </c>
      <c r="H2" s="25" t="inlineStr">
        <is>
          <t>Sim/Não</t>
        </is>
      </c>
      <c r="I2" s="25" t="inlineStr">
        <is>
          <t>Responsável</t>
        </is>
      </c>
      <c r="J2" s="25" t="inlineStr">
        <is>
          <t>Dia</t>
        </is>
      </c>
      <c r="L2" s="44" t="inlineStr">
        <is>
          <t>Dia</t>
        </is>
      </c>
      <c r="M2" s="44" t="inlineStr">
        <is>
          <t>Nº</t>
        </is>
      </c>
    </row>
    <row r="3">
      <c r="A3" s="26" t="inlineStr">
        <is>
          <t>Ideia</t>
        </is>
      </c>
      <c r="B3" s="26" t="inlineStr">
        <is>
          <t>Reel</t>
        </is>
      </c>
      <c r="C3" s="26" t="inlineStr">
        <is>
          <t>Lançamento</t>
        </is>
      </c>
      <c r="D3" s="26" t="inlineStr">
        <is>
          <t>Viver melhor</t>
        </is>
      </c>
      <c r="E3" s="26" t="inlineStr">
        <is>
          <t>Descoberta</t>
        </is>
      </c>
      <c r="F3" s="26" t="inlineStr">
        <is>
          <t>Colaborador</t>
        </is>
      </c>
      <c r="G3" s="26" t="inlineStr">
        <is>
          <t>Institucional</t>
        </is>
      </c>
      <c r="H3" s="26" t="inlineStr">
        <is>
          <t>Sim</t>
        </is>
      </c>
      <c r="I3" s="26" t="inlineStr">
        <is>
          <t>Nina</t>
        </is>
      </c>
      <c r="J3" s="26" t="inlineStr">
        <is>
          <t>Segunda</t>
        </is>
      </c>
      <c r="L3" t="inlineStr">
        <is>
          <t>Segunda</t>
        </is>
      </c>
      <c r="M3" t="n">
        <v>1</v>
      </c>
    </row>
    <row r="4">
      <c r="A4" s="26" t="inlineStr">
        <is>
          <t>Em roteiro</t>
        </is>
      </c>
      <c r="B4" s="26" t="inlineStr">
        <is>
          <t>Carrossel</t>
        </is>
      </c>
      <c r="C4" s="26" t="inlineStr">
        <is>
          <t>O que importa para você?</t>
        </is>
      </c>
      <c r="D4" s="26" t="inlineStr">
        <is>
          <t>O cuidado começa pela pessoa</t>
        </is>
      </c>
      <c r="E4" s="26" t="inlineStr">
        <is>
          <t>Interesse</t>
        </is>
      </c>
      <c r="F4" s="26" t="inlineStr">
        <is>
          <t>RH e liderança</t>
        </is>
      </c>
      <c r="G4" s="26" t="inlineStr">
        <is>
          <t>Pilares (duotone)</t>
        </is>
      </c>
      <c r="H4" s="26" t="inlineStr">
        <is>
          <t>Não</t>
        </is>
      </c>
      <c r="I4" s="26" t="inlineStr">
        <is>
          <t>Dr. Ronald</t>
        </is>
      </c>
      <c r="J4" s="26" t="inlineStr">
        <is>
          <t>Terça</t>
        </is>
      </c>
      <c r="L4" t="inlineStr">
        <is>
          <t>Terça</t>
        </is>
      </c>
      <c r="M4" t="n">
        <v>2</v>
      </c>
    </row>
    <row r="5">
      <c r="A5" s="26" t="inlineStr">
        <is>
          <t>Em produção</t>
        </is>
      </c>
      <c r="B5" s="26" t="inlineStr">
        <is>
          <t>Foto única</t>
        </is>
      </c>
      <c r="C5" s="26" t="inlineStr">
        <is>
          <t>7 pilares</t>
        </is>
      </c>
      <c r="D5" s="26" t="inlineStr">
        <is>
          <t>Saúde dentro das empresas</t>
        </is>
      </c>
      <c r="E5" s="26" t="inlineStr">
        <is>
          <t>Confiança</t>
        </is>
      </c>
      <c r="F5" s="26" t="inlineStr">
        <is>
          <t>SESMT / saúde ocupacional</t>
        </is>
      </c>
      <c r="G5" s="26" t="inlineStr">
        <is>
          <t>Editorial</t>
        </is>
      </c>
      <c r="I5" s="26" t="inlineStr">
        <is>
          <t>Dra. Floriana</t>
        </is>
      </c>
      <c r="J5" s="26" t="inlineStr">
        <is>
          <t>Quarta</t>
        </is>
      </c>
      <c r="L5" t="inlineStr">
        <is>
          <t>Quarta</t>
        </is>
      </c>
      <c r="M5" t="n">
        <v>3</v>
      </c>
    </row>
    <row r="6">
      <c r="A6" s="26" t="inlineStr">
        <is>
          <t>Em revisão técnica</t>
        </is>
      </c>
      <c r="B6" s="26" t="inlineStr">
        <is>
          <t>Stories</t>
        </is>
      </c>
      <c r="C6" s="26" t="inlineStr">
        <is>
          <t>1 Minuto de Cuidado</t>
        </is>
      </c>
      <c r="D6" s="26" t="inlineStr">
        <is>
          <t>É assim que a FAIR HEALTH cuida</t>
        </is>
      </c>
      <c r="E6" s="26" t="inlineStr">
        <is>
          <t>Conversa</t>
        </is>
      </c>
      <c r="F6" s="26" t="inlineStr">
        <is>
          <t>Colaborador + RH</t>
        </is>
      </c>
      <c r="G6" s="26" t="inlineStr">
        <is>
          <t>Vídeo com profissional</t>
        </is>
      </c>
      <c r="I6" s="26" t="inlineStr">
        <is>
          <t>Dra. Marília</t>
        </is>
      </c>
      <c r="J6" s="26" t="inlineStr">
        <is>
          <t>Quinta</t>
        </is>
      </c>
      <c r="L6" t="inlineStr">
        <is>
          <t>Quinta</t>
        </is>
      </c>
      <c r="M6" t="n">
        <v>4</v>
      </c>
    </row>
    <row r="7">
      <c r="A7" s="26" t="inlineStr">
        <is>
          <t>Aprovado</t>
        </is>
      </c>
      <c r="B7" s="26" t="inlineStr">
        <is>
          <t>LinkedIn: texto</t>
        </is>
      </c>
      <c r="C7" s="26" t="inlineStr">
        <is>
          <t>Por dentro da FAIR HEALTH</t>
        </is>
      </c>
      <c r="E7" s="26" t="inlineStr">
        <is>
          <t>Conversão</t>
        </is>
      </c>
      <c r="F7" s="26" t="inlineStr">
        <is>
          <t>Parceiros e ecossistema</t>
        </is>
      </c>
      <c r="G7" s="26" t="inlineStr">
        <is>
          <t>Bastidor (Stories)</t>
        </is>
      </c>
      <c r="I7" s="26" t="inlineStr">
        <is>
          <t>Integrante #5</t>
        </is>
      </c>
      <c r="J7" s="26" t="inlineStr">
        <is>
          <t>Sexta</t>
        </is>
      </c>
      <c r="L7" t="inlineStr">
        <is>
          <t>Sexta</t>
        </is>
      </c>
      <c r="M7" t="n">
        <v>5</v>
      </c>
    </row>
    <row r="8">
      <c r="A8" s="26" t="inlineStr">
        <is>
          <t>Agendado</t>
        </is>
      </c>
      <c r="B8" s="26" t="inlineStr">
        <is>
          <t>LinkedIn: PDF</t>
        </is>
      </c>
      <c r="C8" s="26" t="inlineStr">
        <is>
          <t>Cuidado em números</t>
        </is>
      </c>
      <c r="I8" s="26" t="inlineStr">
        <is>
          <t>Agência</t>
        </is>
      </c>
    </row>
    <row r="9">
      <c r="A9" s="26" t="inlineStr">
        <is>
          <t>Publicado</t>
        </is>
      </c>
      <c r="B9" s="26" t="inlineStr">
        <is>
          <t>LinkedIn: vídeo</t>
        </is>
      </c>
      <c r="C9" s="26" t="inlineStr">
        <is>
          <t>Mito ou Evidência?</t>
        </is>
      </c>
      <c r="I9" s="26" t="inlineStr">
        <is>
          <t>Comercial</t>
        </is>
      </c>
    </row>
    <row r="10">
      <c r="A10" s="26" t="inlineStr">
        <is>
          <t>Adiado</t>
        </is>
      </c>
      <c r="B10" s="26" t="inlineStr">
        <is>
          <t>Facebook: cross-post</t>
        </is>
      </c>
      <c r="C10" s="26" t="inlineStr">
        <is>
          <t>Empresas que cuidam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2026-09-29T15:09:47Z</dcterms:created>
  <dcterms:modified xmlns:dcterms="http://purl.org/dc/terms/" xmlns:xsi="http://www.w3.org/2001/XMLSchema-instance" xsi:type="dcterms:W3CDTF">2026-09-29T15:09:47Z</dcterms:modified>
</cp:coreProperties>
</file>