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Visão mensal" sheetId="2" state="visible" r:id="rId4"/>
    <sheet name="Linhas e públicos" sheetId="3" state="visible" r:id="rId5"/>
    <sheet name="Séries" sheetId="4" state="visible" r:id="rId6"/>
    <sheet name="Pendências" sheetId="5" state="visible" r:id="rId7"/>
    <sheet name="Calendário" sheetId="6" state="visible" r:id="rId8"/>
    <sheet name="Listas" sheetId="7" state="visible" r:id="rId9"/>
  </sheets>
  <definedNames>
    <definedName function="false" hidden="true" localSheetId="5" name="_xlnm._FilterDatabase" vbProcedure="false">Calendário!$A$4:$V$202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Data proposta para começar o Mês 1 (sugestão da revisão de 08/10). Mude aqui e todas as datas sugeridas se ajustam.</t>
        </r>
      </text>
    </comment>
  </commentList>
</comments>
</file>

<file path=xl/sharedStrings.xml><?xml version="1.0" encoding="utf-8"?>
<sst xmlns="http://schemas.openxmlformats.org/spreadsheetml/2006/main" count="1121" uniqueCount="681">
  <si>
    <t xml:space="preserve">Calendário editorial · Fair Health · Instagram e LinkedIn</t>
  </si>
  <si>
    <t xml:space="preserve">Versão de 08/10/2026. Públicos e territórios são provisórios até chegar o material estratégico complementar.</t>
  </si>
  <si>
    <t xml:space="preserve">Como trabalhamos nesta planilha</t>
  </si>
  <si>
    <t xml:space="preserve">1. Revisão mensal (conjunta): antes de cada mês começar, revisamos juntos temas, títulos, públicos, linhas e datas do mês seguinte. Pauta aprovada muda de "Pauta proposta" para "Pauta aprovada".</t>
  </si>
  <si>
    <t xml:space="preserve">2. Detalhamento semanal: a cada semana, detalhamos texto, roteiro e criativo das peças da semana seguinte (colunas R a T) e passamos pela validação.</t>
  </si>
  <si>
    <t xml:space="preserve">3. Comentários: use a coluna "Comentários da revisão" (V) ou comentários de célula. Não apague pautas descartadas: mude o status para "Descartada".</t>
  </si>
  <si>
    <t xml:space="preserve">4. Datas: a data de início (célula amarela na aba Calendário) recalcula todas as datas sugeridas. Para mudar uma data só, digite a nova data por cima.</t>
  </si>
  <si>
    <t xml:space="preserve">Cadência proposta (a validar)</t>
  </si>
  <si>
    <t xml:space="preserve">4 publicações por semana no feed, alternando vídeo e estático/carrossel (2 vídeos por semana). Os vídeos circulam entre as três linhas editoriais.</t>
  </si>
  <si>
    <t xml:space="preserve">As três linhas entram em rodízio: duas peças seguidas nunca são da mesma linha. A aba Visão mensal conta o equilíbrio de cada mês.</t>
  </si>
  <si>
    <t xml:space="preserve">Os dias da semana NÃO estão definidos: as datas são só uma distribuição sugerida (evitando feriados nacionais) e devem ser ajustadas na revisão mensal.</t>
  </si>
  <si>
    <t xml:space="preserve">Stories ficam fora da contagem e servem de apoio: repost, caixa de perguntas e bastidores.</t>
  </si>
  <si>
    <t xml:space="preserve">Marcações</t>
  </si>
  <si>
    <t xml:space="preserve">[PENDENTE] = informação que ainda precisa ser confirmada. [SUGESTÃO] = posição ou texto proposto que precisa de aprovação.</t>
  </si>
  <si>
    <t xml:space="preserve">Coluna "Validação necessária": tudo o que precisa de aval antes de publicar. Afirmações clínicas, benefícios, prazos e resultados passam pela responsável médica.</t>
  </si>
  <si>
    <t xml:space="preserve">Só usamos números liberados: Hospital Dia Santo Amaro, Chemitec (1º semestre de 2026), HBR 2022 e SHRM 2023 com a fonte (instagram/voice.md).</t>
  </si>
  <si>
    <t xml:space="preserve">Fluxo de status</t>
  </si>
  <si>
    <t xml:space="preserve">Ideia → Pauta proposta → Pauta aprovada → Aguardando material → Roteiro pronto → Em produção → Em revisão → Validação médica → Aprovado → Agendado → Publicado (ou Descartada / Aguardando pauta)</t>
  </si>
  <si>
    <t xml:space="preserve">Abas</t>
  </si>
  <si>
    <t xml:space="preserve">Calendário: todas as pautas, uma por linha. O Mês 1 está completo no nível mensal e a semana 1 já tem texto, roteiro e criativo. Meses 2 e 3 estão no nível de tema e título.</t>
  </si>
  <si>
    <t xml:space="preserve">Visão mensal: foco, temas por linha, séries, datas do calendário e o equilíbrio de cada mês (contagens automáticas).</t>
  </si>
  <si>
    <t xml:space="preserve">Linhas e públicos: o que entra em cada linha, os públicos provisórios com as perguntas de cada um e os territórios temáticos.</t>
  </si>
  <si>
    <t xml:space="preserve">Séries: assuntos amplos desdobrados em peças curtas e complementares.</t>
  </si>
  <si>
    <t xml:space="preserve">Pendências: o que precisa ser confirmado e quais pautas cada item trava.</t>
  </si>
  <si>
    <t xml:space="preserve">Listas: valores das listas suspensas.</t>
  </si>
  <si>
    <t xml:space="preserve">Documentos de apoio no repositório: instagram/estrategia.md (estratégia), instagram/voice.md (voz), instagram/diretrizes-criativas.md (visual e formatos).</t>
  </si>
  <si>
    <t xml:space="preserve">Visão mensal: temas e títulos</t>
  </si>
  <si>
    <t xml:space="preserve">Primeiro nível do planejamento. Os títulos de cada mês estão na aba Calendário. As contagens são automáticas e servem para a checagem de equilíbrio na revisão mensal.</t>
  </si>
  <si>
    <t xml:space="preserve">Mês</t>
  </si>
  <si>
    <t xml:space="preserve">Período</t>
  </si>
  <si>
    <t xml:space="preserve">Foco do mês</t>
  </si>
  <si>
    <t xml:space="preserve">Institucional</t>
  </si>
  <si>
    <t xml:space="preserve">Produto</t>
  </si>
  <si>
    <t xml:space="preserve">Projetos, eventos e entregas</t>
  </si>
  <si>
    <t xml:space="preserve">Séries em andamento</t>
  </si>
  <si>
    <t xml:space="preserve">Datas do calendário a avaliar</t>
  </si>
  <si>
    <t xml:space="preserve">Total</t>
  </si>
  <si>
    <t xml:space="preserve">Institucional (nº)</t>
  </si>
  <si>
    <t xml:space="preserve">Produto (nº)</t>
  </si>
  <si>
    <t xml:space="preserve">Projetos (nº)</t>
  </si>
  <si>
    <t xml:space="preserve">Vídeos</t>
  </si>
  <si>
    <t xml:space="preserve">Estáticos e carrosséis</t>
  </si>
  <si>
    <t xml:space="preserve">Pautas com validação médica</t>
  </si>
  <si>
    <t xml:space="preserve">Mês 1</t>
  </si>
  <si>
    <t xml:space="preserve">Apresentar quem somos e como o cuidado funciona, com acolhimento (sem argumento de retorno).</t>
  </si>
  <si>
    <t xml:space="preserve">Boas-vindas; time (Marília, Nina, Ronald, Floriana); origem: do Escritório do Paciente ao Escritório do Cuidado.</t>
  </si>
  <si>
    <t xml:space="preserve">Como funciona o Escritório do Cuidado; MEV e os 7 pilares; Plano Individualizado de Cuidado; pilar sono; wearables.</t>
  </si>
  <si>
    <t xml:space="preserve">Um dia no Escritório; workshops nos pilares; relatório para o RH; como o Escritório chega a uma empresa; registro do mês.</t>
  </si>
  <si>
    <t xml:space="preserve">Como funciona o cuidado (1 a 3); Quem cuida (1 a 4); Pilares da MEV (abertura e sono); Como chega a uma empresa (1).</t>
  </si>
  <si>
    <t xml:space="preserve">02/11 feriado (Finados). 14/11 Dia Mundial do Diabetes: avaliar com a responsável médica um conteúdo de alimentação e atividade física, sem promessa clínica.</t>
  </si>
  <si>
    <t xml:space="preserve">Mês 2</t>
  </si>
  <si>
    <t xml:space="preserve">Aprofundar: NR-1 em série, saúde mental, privacidade dos dados e a primeira prova (Chemitec).</t>
  </si>
  <si>
    <t xml:space="preserve">Time (Renata, Liliane, Fernando, Charles); ecossistema FairJob.</t>
  </si>
  <si>
    <t xml:space="preserve">NR-1 (1 a 3) e versão para colaboradores; pilares saúde mental e relações sociais; seus dados, seu cuidado.</t>
  </si>
  <si>
    <t xml:space="preserve">Bastidores de uma implantação; Chemitec 1º semestre de 2026; depoimento B1; workshop nos pilares (registro do mês).</t>
  </si>
  <si>
    <t xml:space="preserve">NR-1 (1 a 3); Quem cuida (5 a 8); Pilares da MEV (2 e 3); Da intenção à evidência (1 e 2); Como chega a uma empresa (2).</t>
  </si>
  <si>
    <t xml:space="preserve">Novembro Azul: avaliar se há conexão real antes de usar. 20/11 feriado (Consciência Negra).</t>
  </si>
  <si>
    <t xml:space="preserve">Mês 3</t>
  </si>
  <si>
    <t xml:space="preserve">Evidência e convite: indicadores um a um, case HDSA, por que existimos e o diagnóstico gratuito.</t>
  </si>
  <si>
    <t xml:space="preserve">Time junto; quem cuida de quem cuida; o que é importante para você em 2027; por que existimos; fazemos o certo pelos motivos certos.</t>
  </si>
  <si>
    <t xml:space="preserve">NR-1 (4); indicadores para o RH; sinistralidade (opinião); pilares alimentação e propósito; diagnóstico gratuito.</t>
  </si>
  <si>
    <t xml:space="preserve">Depoimento em vídeo de cards; HDSA; 2026 em entregas; TEDx; registro do mês.</t>
  </si>
  <si>
    <t xml:space="preserve">NR-1 (4); Pilares da MEV (4 e 5); Da intenção à evidência (3, 4 e conjunto).</t>
  </si>
  <si>
    <t xml:space="preserve">Festas de fim de ano (25/12 e 01/01 feriados): reduzir a cadência se a produção apertar.</t>
  </si>
  <si>
    <t xml:space="preserve">Linhas editoriais</t>
  </si>
  <si>
    <t xml:space="preserve">Linha</t>
  </si>
  <si>
    <t xml:space="preserve">O que entra</t>
  </si>
  <si>
    <t xml:space="preserve">Objetivos típicos</t>
  </si>
  <si>
    <t xml:space="preserve">Formatos que funcionam</t>
  </si>
  <si>
    <t xml:space="preserve">Peso no mês</t>
  </si>
  <si>
    <t xml:space="preserve">O que é a Fair Health, por que existe, de onde veio (Escritório do Paciente → Escritório do Cuidado, ecossistema FairJob), em que acredita e quem compõe o time, com a apresentação individual de cada integrante.</t>
  </si>
  <si>
    <t xml:space="preserve">Apresentar, humanizar, gerar confiança.</t>
  </si>
  <si>
    <t xml:space="preserve">Vídeo com o time, retratos, carrossel de origem.</t>
  </si>
  <si>
    <t xml:space="preserve">Cerca de 1/3</t>
  </si>
  <si>
    <t xml:space="preserve">Escritório do Cuidado (espaço, percurso, sigilo), Medicina do Estilo de Vida e os 7 pilares, Plano Individualizado de Cuidado e tecnologia (smartband, bioimpedância, plataforma, relatórios anonimizados). Temas do entorno (NR-1, bem-estar, saúde mental) entram aqui quando a ligação com a oferta é clara.</t>
  </si>
  <si>
    <t xml:space="preserve">Explicar, educar com rigor, tirar dúvidas, levar à conversa comercial.</t>
  </si>
  <si>
    <t xml:space="preserve">Carrossel explicativo, vídeo de profissional para a câmera.</t>
  </si>
  <si>
    <t xml:space="preserve">Cerca de 1/3 a 2/5</t>
  </si>
  <si>
    <t xml:space="preserve">O que a Fair Health está fazendo e entregando: operação nas empresas (bastidores), workshops e letramento, cases e números liberados, eventos e participações, entregas para o RH.</t>
  </si>
  <si>
    <t xml:space="preserve">Provar, mostrar movimento, gerar prova social.</t>
  </si>
  <si>
    <t xml:space="preserve">Vídeo de bastidor, carrossel de case, registro de evento.</t>
  </si>
  <si>
    <t xml:space="preserve">Cerca de 1/4 a 1/3</t>
  </si>
  <si>
    <t xml:space="preserve">Públicos (PROVISÓRIO: confirmar com o material estratégico complementar)</t>
  </si>
  <si>
    <t xml:space="preserve">Público</t>
  </si>
  <si>
    <t xml:space="preserve">Quem é (como está documentado)</t>
  </si>
  <si>
    <t xml:space="preserve">Perguntas e necessidades</t>
  </si>
  <si>
    <t xml:space="preserve">Como falar</t>
  </si>
  <si>
    <t xml:space="preserve">Cuidados</t>
  </si>
  <si>
    <t xml:space="preserve">RH e liderança</t>
  </si>
  <si>
    <t xml:space="preserve">Público principal: CHROs, gerentes de pessoas e business partners de empresas de médio e grande porte, principalmente indústria.</t>
  </si>
  <si>
    <t xml:space="preserve">Como atender à NR-1 de um jeito que mude algo? Meu programa de saúde tem adesão? O que eu recebo e o que não posso ver? Como começar?</t>
  </si>
  <si>
    <t xml:space="preserve">Direto, com processo e evidência, sem jargão clínico.</t>
  </si>
  <si>
    <t xml:space="preserve">Números só liberados e com fonte.</t>
  </si>
  <si>
    <t xml:space="preserve">Colaboradores</t>
  </si>
  <si>
    <t xml:space="preserve">Quem é ou pode ser atendido pelo Escritório do Cuidado (público dos primeiros posts de acolhimento).</t>
  </si>
  <si>
    <t xml:space="preserve">Como funciona? Vou ser julgado? O que eu contar fica entre nós? Cabe na minha rotina?</t>
  </si>
  <si>
    <t xml:space="preserve">Acolhedor, em segunda pessoa, prático, sem números de negócio.</t>
  </si>
  <si>
    <t xml:space="preserve">Nunca expor quem é atendido.</t>
  </si>
  <si>
    <t xml:space="preserve">SESMT e medicina do trabalho</t>
  </si>
  <si>
    <t xml:space="preserve">Público secundário: médicos do trabalho e equipes de SST.</t>
  </si>
  <si>
    <t xml:space="preserve">Isso substitui ou complementa o que já fazemos? Como conversa com o SST e com a NR-1?</t>
  </si>
  <si>
    <t xml:space="preserve">Técnico, com fontes e precisão.</t>
  </si>
  <si>
    <t xml:space="preserve">Validação da responsável médica em tudo o que for clínico ou normativo.</t>
  </si>
  <si>
    <t xml:space="preserve">Diretoria financeira</t>
  </si>
  <si>
    <t xml:space="preserve">Público secundário: diretoria financeira.</t>
  </si>
  <si>
    <t xml:space="preserve">Qual o retorno? Como medir? O que muda na sinistralidade?</t>
  </si>
  <si>
    <t xml:space="preserve">Indicadores com fonte, sem promessa.</t>
  </si>
  <si>
    <t xml:space="preserve">Argumento de retorno só a partir do Mês 2, um indicador por vez.</t>
  </si>
  <si>
    <t xml:space="preserve">Territórios temáticos (PROVISÓRIO)</t>
  </si>
  <si>
    <t xml:space="preserve">Território</t>
  </si>
  <si>
    <t xml:space="preserve">Ligação real com a Fair Health</t>
  </si>
  <si>
    <t xml:space="preserve">Como adaptar ao público</t>
  </si>
  <si>
    <t xml:space="preserve">Validação</t>
  </si>
  <si>
    <t xml:space="preserve">Onde aparece</t>
  </si>
  <si>
    <t xml:space="preserve">NR-1 e riscos psicossociais</t>
  </si>
  <si>
    <t xml:space="preserve">O Executive Summary posiciona a oferta como aderente à NR-1 (programa de prevenção de riscos psicossociais e plataforma de indicadores).</t>
  </si>
  <si>
    <t xml:space="preserve">RH: o que muda na gestão. SESMT: como complementa o SST. Colaboradores: seu bem-estar no trabalho também é assunto da empresa.</t>
  </si>
  <si>
    <t xml:space="preserve">Texto da norma com fonte oficial; responsável médica; não prometer conformidade.</t>
  </si>
  <si>
    <t xml:space="preserve">Série NR-1 (Meses 2 e 3)</t>
  </si>
  <si>
    <t xml:space="preserve">Bem-estar e saúde no trabalho</t>
  </si>
  <si>
    <t xml:space="preserve">Cuidado preventivo dentro da empresa; adesão como primeiro resultado.</t>
  </si>
  <si>
    <t xml:space="preserve">RH: adesão e experiência. Colaboradores: cuidado perto, sem fila.</t>
  </si>
  <si>
    <t xml:space="preserve">Não chamar de "app de bem-estar" nem de "benefício" como mimo.</t>
  </si>
  <si>
    <t xml:space="preserve">Meses 1 a 3</t>
  </si>
  <si>
    <t xml:space="preserve">Os 7 pilares da MEV</t>
  </si>
  <si>
    <t xml:space="preserve">Base do Plano Individualizado de Cuidado (cartilha do Escritório do Cuidado).</t>
  </si>
  <si>
    <t xml:space="preserve">Colaboradores: hábito possível. RH: o que o ambiente da empresa pode facilitar.</t>
  </si>
  <si>
    <t xml:space="preserve">Responsável médica; números da cartilha sem fonte ficam de fora.</t>
  </si>
  <si>
    <t xml:space="preserve">Série Pilares, um pilar por vez ao longo dos meses</t>
  </si>
  <si>
    <t xml:space="preserve">Saúde mental</t>
  </si>
  <si>
    <t xml:space="preserve">Psicólogos no Escritório; guia "Saúde mental: o cuidado no dia a dia" (OMS, APA, IPq-USP).</t>
  </si>
  <si>
    <t xml:space="preserve">Colaboradores: acolher e dizer onde pedir ajuda. RH: liderança e clima.</t>
  </si>
  <si>
    <t xml:space="preserve">Sempre fechar com CVV 188; responsável médica.</t>
  </si>
  <si>
    <t xml:space="preserve">Meses 2 e 3</t>
  </si>
  <si>
    <t xml:space="preserve">Tecnologia e dados</t>
  </si>
  <si>
    <t xml:space="preserve">Smartband, bioimpedância, plataforma, relatórios anonimizados integrados ao fairdata.</t>
  </si>
  <si>
    <t xml:space="preserve">Colaboradores: privacidade. RH: o que recebe e o que não vê.</t>
  </si>
  <si>
    <t xml:space="preserve">Nunca dado individual; confirmar fluxo de dados.</t>
  </si>
  <si>
    <t xml:space="preserve">Série Tecnologia a favor da pessoa</t>
  </si>
  <si>
    <t xml:space="preserve">Experiência do colaborador e cuidado centrado na pessoa</t>
  </si>
  <si>
    <t xml:space="preserve">Origem no Escritório do Paciente e nos Aims da saúde (IHI).</t>
  </si>
  <si>
    <t xml:space="preserve">RH e SESMT: modelo com história e método.</t>
  </si>
  <si>
    <t xml:space="preserve">Datas e conceitos com fonte; [PENDENTE] quem idealizou.</t>
  </si>
  <si>
    <t xml:space="preserve">Origem (Mês 1), Quem cuida de quem cuida (Mês 3)</t>
  </si>
  <si>
    <t xml:space="preserve">Indicadores e retorno</t>
  </si>
  <si>
    <t xml:space="preserve">Provas liberadas: HDSA, Chemitec, HBR 2022, SHRM 2023.</t>
  </si>
  <si>
    <t xml:space="preserve">RH e diretoria financeira: um indicador por vez.</t>
  </si>
  <si>
    <t xml:space="preserve">Só números liberados, sempre com fonte.</t>
  </si>
  <si>
    <t xml:space="preserve">Série Da intenção à evidência (Meses 2 e 3)</t>
  </si>
  <si>
    <t xml:space="preserve">Datas e temas do entorno</t>
  </si>
  <si>
    <t xml:space="preserve">Só quando a data conversa com um pilar ou com o serviço.</t>
  </si>
  <si>
    <t xml:space="preserve">Escolher o público que a data realmente envolve.</t>
  </si>
  <si>
    <t xml:space="preserve">Responsável médica; evitar oportunismo.</t>
  </si>
  <si>
    <t xml:space="preserve">Coluna "Datas do calendário a avaliar" da Visão mensal</t>
  </si>
  <si>
    <t xml:space="preserve">Séries: assuntos amplos em peças curtas e complementares</t>
  </si>
  <si>
    <t xml:space="preserve">Série</t>
  </si>
  <si>
    <t xml:space="preserve">Lógica da sequência</t>
  </si>
  <si>
    <t xml:space="preserve">Partes (ID no Calendário)</t>
  </si>
  <si>
    <t xml:space="preserve">Meses</t>
  </si>
  <si>
    <t xml:space="preserve">Observações</t>
  </si>
  <si>
    <t xml:space="preserve">Como funciona o cuidado</t>
  </si>
  <si>
    <t xml:space="preserve">Contexto e percurso → cuidado individualizado → acompanhamento.</t>
  </si>
  <si>
    <t xml:space="preserve">M1-02 O percurso · M1-08 O Plano Individualizado de Cuidado · M1-14 O acompanhamento (wearables)</t>
  </si>
  <si>
    <t xml:space="preserve">Detalhes técnicos validados pela responsável médica.</t>
  </si>
  <si>
    <t xml:space="preserve">NR-1</t>
  </si>
  <si>
    <t xml:space="preserve">Contexto → diagnóstico → cuidado individualizado → acompanhamento, com uma versão para colaboradores.</t>
  </si>
  <si>
    <t xml:space="preserve">M2-02 Contexto · M2-07 Versão para colaboradores · M2-09 Diagnóstico · M2-14 Cuidado individualizado · M3-05 Acompanhamento</t>
  </si>
  <si>
    <t xml:space="preserve">Fonte oficial para o texto da norma. Não prometer conformidade.</t>
  </si>
  <si>
    <t xml:space="preserve">Pilares da MEV</t>
  </si>
  <si>
    <t xml:space="preserve">Um pilar por vez, espalhado pelo calendário. Cada pilar pode ter até 3 peças em momentos diferentes: por que importa (colaboradores) → como entra no plano (produto) → o que a empresa pode facilitar (RH).</t>
  </si>
  <si>
    <t xml:space="preserve">M1-05 Abertura (7 pilares) · M1-11 Sono · M2-04 Saúde mental e estresse · M2-16 Relações sociais · M3-02 Alimentação · M3-14 Propósito · Atividade física e evitar substâncias no Mês 4</t>
  </si>
  <si>
    <t xml:space="preserve">Meses 1 a 4</t>
  </si>
  <si>
    <t xml:space="preserve">Um post não precisa esgotar o pilar. Retomar os pilares com outros ângulos depois.</t>
  </si>
  <si>
    <t xml:space="preserve">Quem cuida</t>
  </si>
  <si>
    <t xml:space="preserve">Uma pessoa do time por semana, sem cargo, com a resposta a "O que é importante para você?". Fecha com o time junto.</t>
  </si>
  <si>
    <t xml:space="preserve">M1-04 Marília · M1-07 Nina · M1-13 Ronald · M1-16 Floriana · M2-03 Renata · M2-05 Liliane · M2-11 Fernando · M2-15 Charles · M3-01 Time junto</t>
  </si>
  <si>
    <t xml:space="preserve">Ordem a confirmar com o time. Formato (vídeo ou retrato) conforme a preferência de cada pessoa.</t>
  </si>
  <si>
    <t xml:space="preserve">Tecnologia a favor da pessoa</t>
  </si>
  <si>
    <t xml:space="preserve">O que a tecnologia mede → o que fica no atendimento → o que o RH recebe.</t>
  </si>
  <si>
    <t xml:space="preserve">M1-14 Wearables · M1-09 Relatório para o RH · M2-12 Seus dados, seu cuidado</t>
  </si>
  <si>
    <t xml:space="preserve">Meses 1 e 2</t>
  </si>
  <si>
    <t xml:space="preserve">Nunca dado individual.</t>
  </si>
  <si>
    <t xml:space="preserve">Da intenção à evidência</t>
  </si>
  <si>
    <t xml:space="preserve">Um indicador por vez, depois o conjunto (decisão de 01/10: o argumento de retorno começa depois da estreia).</t>
  </si>
  <si>
    <t xml:space="preserve">M2-06 Adesão e retorno (Chemitec) · M2-10 Experiência (depoimento B1) · M3-03 Adesão entre colegas · M3-06 HDSA · M3-08 Indicadores · M3-10 Afastamento</t>
  </si>
  <si>
    <t xml:space="preserve">Como chega a uma empresa</t>
  </si>
  <si>
    <t xml:space="preserve">Explicação das etapas → bastidor de uma implantação real.</t>
  </si>
  <si>
    <t xml:space="preserve">M1-12 Diagnóstico, proposta e implantação · M2-01 Bastidores de uma implantação</t>
  </si>
  <si>
    <t xml:space="preserve">Deixa clara a oferta comercial. Não citar prazos sem confirmação.</t>
  </si>
  <si>
    <t xml:space="preserve">Registro do mês</t>
  </si>
  <si>
    <t xml:space="preserve">Uma peça por mês sobre um projeto, evento ou entrega real.</t>
  </si>
  <si>
    <t xml:space="preserve">M1-15 · M2-13 (workshop) · M3-09 (2026 em entregas) · M3-15</t>
  </si>
  <si>
    <t xml:space="preserve">Todos os meses</t>
  </si>
  <si>
    <t xml:space="preserve">Depende da agenda de eventos e entregas, que ainda não está documentada.</t>
  </si>
  <si>
    <t xml:space="preserve">Pendências e validações</t>
  </si>
  <si>
    <t xml:space="preserve">#</t>
  </si>
  <si>
    <t xml:space="preserve">Pendência</t>
  </si>
  <si>
    <t xml:space="preserve">Quem confirma</t>
  </si>
  <si>
    <t xml:space="preserve">Pautas afetadas</t>
  </si>
  <si>
    <t xml:space="preserve">Situação</t>
  </si>
  <si>
    <t xml:space="preserve">Material estratégico complementar: confirmar públicos e aprofundar os territórios temáticos.</t>
  </si>
  <si>
    <t xml:space="preserve">Time Fair Health</t>
  </si>
  <si>
    <t xml:space="preserve">Colunas Público e Necessidade de todas as pautas</t>
  </si>
  <si>
    <t xml:space="preserve">Aberta</t>
  </si>
  <si>
    <t xml:space="preserve">Nome da responsável médica que valida o conteúdo clínico (o material anterior citava o Dr. Ronald).</t>
  </si>
  <si>
    <t xml:space="preserve">Todas as pautas com "responsável médica" na validação</t>
  </si>
  <si>
    <t xml:space="preserve">Assistentes sociais fazem parte do atendimento? (o Executive Summary cita médicos e psicólogos)</t>
  </si>
  <si>
    <t xml:space="preserve">M1-01 e textos que citam o time</t>
  </si>
  <si>
    <t xml:space="preserve">Etapas e prazos clínicos: bioimpedância, smartband por 48 h, retorno, programa de 12 meses.</t>
  </si>
  <si>
    <t xml:space="preserve">Responsável médica</t>
  </si>
  <si>
    <t xml:space="preserve">M1-02, M1-08, M1-14</t>
  </si>
  <si>
    <t xml:space="preserve">Nomes dos 7 pilares: usar a lista da cartilha? (a apresentação institucional traz 6)</t>
  </si>
  <si>
    <t xml:space="preserve">Série Pilares da MEV</t>
  </si>
  <si>
    <t xml:space="preserve">Texto, prazos e obrigações da NR-1 com fonte oficial.</t>
  </si>
  <si>
    <t xml:space="preserve">Responsável médica + fonte oficial</t>
  </si>
  <si>
    <t xml:space="preserve">Série NR-1</t>
  </si>
  <si>
    <t xml:space="preserve">Collab no Instagram: perfil da FairJob, quem envia e quem aceita o convite, se todos os posts vão em collab, perfis dos integrantes, limite de colaboradores por post.</t>
  </si>
  <si>
    <t xml:space="preserve">Comunicação + FairJob</t>
  </si>
  <si>
    <t xml:space="preserve">Todas as pautas (coluna Collab)</t>
  </si>
  <si>
    <t xml:space="preserve">LinkedIn pela página da FairJob: quem publica, frequência, se a Fair Health terá página própria, se os integrantes compartilham, adaptação das legendas.</t>
  </si>
  <si>
    <t xml:space="preserve">Todas as pautas com canal LinkedIn</t>
  </si>
  <si>
    <t xml:space="preserve">Fotos e vídeos reais do espaço (as imagens atuais parecem renders) e autorização da empresa para gravar.</t>
  </si>
  <si>
    <t xml:space="preserve">M1-01, M1-03, M2-01</t>
  </si>
  <si>
    <t xml:space="preserve">Material de cada integrante: vídeo curto ou retrato, descrição sem cargo e resposta à pergunta. Ordem da série.</t>
  </si>
  <si>
    <t xml:space="preserve">Série Quem cuida</t>
  </si>
  <si>
    <t xml:space="preserve">Workshops e letramento: formato, frequência, temas e próximas datas.</t>
  </si>
  <si>
    <t xml:space="preserve">M1-06, M2-13</t>
  </si>
  <si>
    <t xml:space="preserve">Agenda de eventos, projetos e entregas para o Registro do mês.</t>
  </si>
  <si>
    <t xml:space="preserve">M1-15, M2-13, M3-09, M3-15</t>
  </si>
  <si>
    <t xml:space="preserve">Cores secundárias e elementos visuais: todos em teste. O amarelo usado no carrossel de acolhimento conflita com uma nota anterior (amarelo é cor da Fair Edu).</t>
  </si>
  <si>
    <t xml:space="preserve">Comunicação + sócios</t>
  </si>
  <si>
    <t xml:space="preserve">Todas as artes</t>
  </si>
  <si>
    <t xml:space="preserve">Raleway é a fonte oficial da marca? Logo em alta resolução e PNG do coração com fundo transparente.</t>
  </si>
  <si>
    <t xml:space="preserve">Comunicação</t>
  </si>
  <si>
    <t xml:space="preserve">Destino do link e da chamada CUIDADO (www.fairhealth.com.br) e quem responde comentários e DMs.</t>
  </si>
  <si>
    <t xml:space="preserve">M1-12, M3-16</t>
  </si>
  <si>
    <t xml:space="preserve">Limites de publicidade médica (CFM) e formato dos depoimentos.</t>
  </si>
  <si>
    <t xml:space="preserve">M2-10, M3-03</t>
  </si>
  <si>
    <t xml:space="preserve">Chemitec: autorização para citar ou marcar a empresa no post.</t>
  </si>
  <si>
    <t xml:space="preserve">M2-06</t>
  </si>
  <si>
    <t xml:space="preserve">Posições [SUGESTÃO] 1 a 4 do voice.md (NR-1, sinistralidade, adesão, dado).</t>
  </si>
  <si>
    <t xml:space="preserve">Sócios</t>
  </si>
  <si>
    <t xml:space="preserve">M2-02, M3-05, M3-08, M3-11</t>
  </si>
  <si>
    <t xml:space="preserve">Quem idealizou o Escritório do Paciente.</t>
  </si>
  <si>
    <t xml:space="preserve">M1-10</t>
  </si>
  <si>
    <t xml:space="preserve">Calendário editorial · Fair Health</t>
  </si>
  <si>
    <t xml:space="preserve">Início do Mês 1 (segunda-feira):</t>
  </si>
  <si>
    <t xml:space="preserve">Mude a data amarela para reposicionar todo o calendário. Os dias da semana são só sugestão.</t>
  </si>
  <si>
    <t xml:space="preserve">ID</t>
  </si>
  <si>
    <t xml:space="preserve">Semana</t>
  </si>
  <si>
    <t xml:space="preserve">Data sugerida</t>
  </si>
  <si>
    <t xml:space="preserve">Linha editorial</t>
  </si>
  <si>
    <t xml:space="preserve">Tema</t>
  </si>
  <si>
    <t xml:space="preserve">Série (parte)</t>
  </si>
  <si>
    <t xml:space="preserve">Título provisório</t>
  </si>
  <si>
    <t xml:space="preserve">Necessidade ou pergunta do público</t>
  </si>
  <si>
    <t xml:space="preserve">Objetivo</t>
  </si>
  <si>
    <t xml:space="preserve">Formato</t>
  </si>
  <si>
    <t xml:space="preserve">Canal</t>
  </si>
  <si>
    <t xml:space="preserve">Collab / perfis</t>
  </si>
  <si>
    <t xml:space="preserve">Mensagem principal</t>
  </si>
  <si>
    <t xml:space="preserve">Validação necessária</t>
  </si>
  <si>
    <t xml:space="preserve">Status</t>
  </si>
  <si>
    <t xml:space="preserve">Texto / legenda</t>
  </si>
  <si>
    <t xml:space="preserve">Roteiro / estrutura</t>
  </si>
  <si>
    <t xml:space="preserve">Criativo (modelo e arte)</t>
  </si>
  <si>
    <t xml:space="preserve">Responsável</t>
  </si>
  <si>
    <t xml:space="preserve">Comentários da revisão</t>
  </si>
  <si>
    <t xml:space="preserve">M1-01</t>
  </si>
  <si>
    <t xml:space="preserve">Apresentação da Fair Health</t>
  </si>
  <si>
    <t xml:space="preserve">Antes de qualquer exame, uma conversa</t>
  </si>
  <si>
    <t xml:space="preserve">Colaboradores; RH e liderança</t>
  </si>
  <si>
    <t xml:space="preserve">O que é a Fair Health e o que ela faz dentro da empresa?</t>
  </si>
  <si>
    <t xml:space="preserve">Apresentar a marca e o jeito de cuidar</t>
  </si>
  <si>
    <t xml:space="preserve">Vídeo</t>
  </si>
  <si>
    <t xml:space="preserve">Instagram + LinkedIn</t>
  </si>
  <si>
    <t xml:space="preserve">FairJob</t>
  </si>
  <si>
    <t xml:space="preserve">A Fair Health leva o cuidado para dentro da empresa, e todo cuidado começa com uma pergunta: o que é importante para você?</t>
  </si>
  <si>
    <t xml:space="preserve">Roteiro e legenda citam assistentes sociais: confirmar se fazem parte do atendimento antes de publicar (o Executive Summary cita médicos e psicólogos).</t>
  </si>
  <si>
    <t xml:space="preserve">Roteiro pronto</t>
  </si>
  <si>
    <t xml:space="preserve">Antes de qualquer exame, uma conversa.
Esse é o Escritório do Cuidado: um espaço dentro da empresa, com médicos, psicólogos e assistentes sociais, perto de quem trabalha.
Aqui, todo cuidado começa com a mesma pergunta: o que é importante para você? A partir da resposta, montamos juntos um plano que cabe na sua rotina e seguimos acompanhando.
Seja bem-vindo. Nos próximos dias, você vai conhecer quem cuida por aqui.
#fairhealth #saudecorporativa #cuidadocentradonapessoa #medicinadoestilodevida #saudedotrabalhador</t>
  </si>
  <si>
    <t xml:space="preserve">Reel de 30 a 34 s (instagram/primeiros-posts-acolhimento.md, ID 1).
0–3 s: "Antes de qualquer exame, a gente começa com uma conversa." Porta do Escritório se abrindo.
3–9 s: o espaço dentro da empresa (recepção, copa, sala).
9–16 s: quem chega é recebido por gente, sem pressa e sem julgamento.
16–23 s: cada integrante diz um pedaço da pergunta "O que é importante para você?".
23–30 s: a partir da resposta, um cuidado que cabe na rotina.
30–34 s: logo e assinatura.</t>
  </si>
  <si>
    <t xml:space="preserve">Vídeo 1080x1920 gravado no espaço real e com o time. Texto na tela dentro da área segura. Capa no modelo M1 (Tiffany, pergunta), conferindo o recorte da grade. LinkedIn: mesmo vídeo, legenda adaptada para RH.</t>
  </si>
  <si>
    <t xml:space="preserve">M1-02</t>
  </si>
  <si>
    <t xml:space="preserve">Escritório do Cuidado</t>
  </si>
  <si>
    <t xml:space="preserve">Como funciona o cuidado (1/3): o percurso</t>
  </si>
  <si>
    <t xml:space="preserve">Aqui, o cuidado começa com uma pergunta</t>
  </si>
  <si>
    <t xml:space="preserve">O que acontece quando eu vou ao Escritório do Cuidado? Vou ser julgado? O que eu contar fica entre nós?</t>
  </si>
  <si>
    <t xml:space="preserve">Explicar o percurso do atendimento e reduzir a barreira de ir</t>
  </si>
  <si>
    <t xml:space="preserve">Carrossel</t>
  </si>
  <si>
    <t xml:space="preserve">Primeiro a gente te ouve e entende sua rotina; depois monta o plano com você e acompanha. O que você conta fica entre você e quem cuida.</t>
  </si>
  <si>
    <t xml:space="preserve">Responsável médica confere as etapas citadas (anamnese, bioimpedância, smartband por 48 horas, retorno).</t>
  </si>
  <si>
    <t xml:space="preserve">Em revisão</t>
  </si>
  <si>
    <t xml:space="preserve">Aqui, o cuidado começa com uma pergunta: o que é importante para você?
Antes de exame, antes de número, a gente quer saber da sua rotina, do seu trabalho, do que anda pesando e do que você gostaria de mudar.
O Escritório do Cuidado fica dentro da empresa, perto de onde você já está. Lá, médicos e psicólogos se revezam para montar com você um cuidado que caiba na sua vida, com base na Medicina do Estilo de Vida.
O objetivo da fairhealth é melhorar a qualidade de vida de quem trabalha, com um cuidado feito para cada pessoa e acompanhado de perto.
E o que você conta fica entre você e quem cuida.
Arrasta para o lado para ver como funciona.
#fairhealth #saudecorporativa #cuidadocentradonapessoa #medicinadoestilodevida #saudedotrabalhador</t>
  </si>
  <si>
    <t xml:space="preserve">10 slides: 1 capa (pergunta) · 2 fica dentro da empresa · 3 gente que cuida de gente · 4 Passo 1: a gente te conhece · 5 Passo 2: o que é importante para você? · 6 Passo 3: entender antes de propor (bioimpedância e smartband por 48 h) · 7 Passo 4: o plano é seu · 8 Passo 5: retorno e acompanhamento · 9 sigilo · 10 convite para comentar.</t>
  </si>
  <si>
    <t xml:space="preserve">Arte no Canva (design DAHW6JfDldU, 11 páginas): escolher entre as versões originais e as novas dos slides 1, 5, 7, 9 e 10. Modelos M1, M2 e M3. LinkedIn: exportar em PDF.</t>
  </si>
  <si>
    <t xml:space="preserve">M1-03</t>
  </si>
  <si>
    <t xml:space="preserve">Escritório em funcionamento</t>
  </si>
  <si>
    <t xml:space="preserve">Um dia no Escritório do Cuidado</t>
  </si>
  <si>
    <t xml:space="preserve">RH e liderança; Colaboradores</t>
  </si>
  <si>
    <t xml:space="preserve">Como isso funciona na prática, dentro de uma empresa?</t>
  </si>
  <si>
    <t xml:space="preserve">Mostrar o serviço em operação e dar concretude à oferta</t>
  </si>
  <si>
    <t xml:space="preserve">FairJob; empresa-cliente (só se autorizar)</t>
  </si>
  <si>
    <t xml:space="preserve">O cuidado acontece dentro da empresa, em plantões de médicos e psicólogos, perto de quem trabalha.</t>
  </si>
  <si>
    <t xml:space="preserve">Gravar no espaço real (as imagens atuais parecem renders). Autorização da empresa para gravar. Nenhum colaborador atendido em cena.</t>
  </si>
  <si>
    <t xml:space="preserve">Aguardando material</t>
  </si>
  <si>
    <t xml:space="preserve">[Rascunho] Como é um dia no Escritório do Cuidado?
Antes do primeiro atendimento, a sala é preparada, a agenda é revisada e as smartbands ficam prontas para quem vai começar o acompanhamento.
Depois, é conversa. Médicos e psicólogos se revezam em plantões dentro da empresa, perto de quem trabalha.
#fairhealth #saudecorporativa #cuidadocentradonapessoa #medicinadoestilodevida #saudedotrabalhador</t>
  </si>
  <si>
    <t xml:space="preserve">Reel de 30 a 40 s, sem pacientes.
0–3 s: porta se abrindo. Tela: UM DIA NO ESCRITÓRIO DO CUIDADO
3–10 s: profissional preparando a sala (cena C3 da sessão de fotos).
10–18 s: agenda e smartbands sobre a mesa (A7).
18–28 s: profissional recebendo alguém, de costas. Tela: PLANTÕES DE MÉDICOS E PSICÓLOGOS
28–35 s: copa e pausa (B4). Fechamento com a pergunta e o logo.</t>
  </si>
  <si>
    <t xml:space="preserve">Vídeo 1080x1920. Cenas B1, B2, B4, C3 e A7 de instagram/sessao-de-fotos.md. Capa no modelo M7.</t>
  </si>
  <si>
    <t xml:space="preserve">M1-04</t>
  </si>
  <si>
    <t xml:space="preserve">Time</t>
  </si>
  <si>
    <t xml:space="preserve">Quem cuida (1/8)</t>
  </si>
  <si>
    <t xml:space="preserve">Quem cuida: Marília</t>
  </si>
  <si>
    <t xml:space="preserve">Quem vai me atender? Quem são as pessoas por trás da Fair Health?</t>
  </si>
  <si>
    <t xml:space="preserve">Humanizar a marca e criar vínculo</t>
  </si>
  <si>
    <t xml:space="preserve">FairJob; perfil de Marília (se houver e se a pessoa quiser)</t>
  </si>
  <si>
    <t xml:space="preserve">[Resposta de Marília a "O que é importante para você?"]</t>
  </si>
  <si>
    <t xml:space="preserve">Material da pessoa: retrato vertical, descrição curta sem cargo e resposta à pergunta. Aprovação da pessoa antes de publicar.</t>
  </si>
  <si>
    <t xml:space="preserve">Por trás de todo cuidado, tem gente. Esta é a Marília.
[Descrição curta, escrita com ela, sem cargo.]
Perguntamos a ela o mesmo que perguntamos a quem cuidamos: o que é importante para você?
"[resposta]"
E para você, o que é importante?
#fairhealth #saudecorporativa #cuidadocentradonapessoa #medicinadoestilodevida #saudedotrabalhador</t>
  </si>
  <si>
    <t xml:space="preserve">Carrossel de 3 slides: 1 retrato em tela cheia e nome · 2 quem é a Marília (sem cargo) · 3 "O que é importante para você?" e a resposta dela.</t>
  </si>
  <si>
    <t xml:space="preserve">Modelo M4 (retrato do time)</t>
  </si>
  <si>
    <t xml:space="preserve">M1-05</t>
  </si>
  <si>
    <t xml:space="preserve">Medicina do Estilo de Vida</t>
  </si>
  <si>
    <t xml:space="preserve">Pilares da MEV (abertura)</t>
  </si>
  <si>
    <t xml:space="preserve">Medicina do Estilo de Vida em 1 minuto: os 7 pilares</t>
  </si>
  <si>
    <t xml:space="preserve">O que é Medicina do Estilo de Vida? É dieta? É academia?</t>
  </si>
  <si>
    <t xml:space="preserve">Apresentar a base do cuidado e abrir a série dos pilares</t>
  </si>
  <si>
    <t xml:space="preserve">Os pilares não funcionam isoladamente: o plano olha para a pessoa inteira.</t>
  </si>
  <si>
    <t xml:space="preserve">Responsável médica valida a definição de MEV e os nomes dos 7 pilares (cartilha do Escritório do Cuidado).</t>
  </si>
  <si>
    <t xml:space="preserve">Pauta proposta</t>
  </si>
  <si>
    <t xml:space="preserve">Modelo M9 (profissional para a câmera) com etiqueta "PILARES".</t>
  </si>
  <si>
    <t xml:space="preserve">M1-06</t>
  </si>
  <si>
    <t xml:space="preserve">Letramento e workshops</t>
  </si>
  <si>
    <t xml:space="preserve">Cuidado também se aprende: como funcionam os workshops nos pilares</t>
  </si>
  <si>
    <t xml:space="preserve">Além da consulta, o que acontece com o time ao longo do programa?</t>
  </si>
  <si>
    <t xml:space="preserve">Mostrar uma entrega do programa além do atendimento individual</t>
  </si>
  <si>
    <t xml:space="preserve">Ao longo do programa, o cuidado também acontece em grupo, com letramento e workshops nos pilares da MEV.</t>
  </si>
  <si>
    <t xml:space="preserve">Time confirma formato, frequência e temas dos workshops. Fotos reais de um encontro, com autorização.</t>
  </si>
  <si>
    <t xml:space="preserve">Modelo M7 (bastidor) com fotos reais.</t>
  </si>
  <si>
    <t xml:space="preserve">M1-07</t>
  </si>
  <si>
    <t xml:space="preserve">Quem cuida (2/8)</t>
  </si>
  <si>
    <t xml:space="preserve">Quem cuida: Nina</t>
  </si>
  <si>
    <t xml:space="preserve">FairJob; perfil de Nina (se houver e se a pessoa quiser)</t>
  </si>
  <si>
    <t xml:space="preserve">[Resposta de Nina a "O que é importante para você?"]</t>
  </si>
  <si>
    <t xml:space="preserve">Material da pessoa: vídeo curto (20 a 30 s), descrição curta sem cargo e resposta à pergunta. Aprovação da pessoa antes de publicar.</t>
  </si>
  <si>
    <t xml:space="preserve">Modelo M9 (vídeo, capa com nome)</t>
  </si>
  <si>
    <t xml:space="preserve">M1-08</t>
  </si>
  <si>
    <t xml:space="preserve">Plano Individualizado de Cuidado</t>
  </si>
  <si>
    <t xml:space="preserve">Como funciona o cuidado (2/3): o plano</t>
  </si>
  <si>
    <t xml:space="preserve">O plano é seu: como nasce o Plano Individualizado de Cuidado</t>
  </si>
  <si>
    <t xml:space="preserve">Vou receber uma lista de regras impossíveis de seguir?</t>
  </si>
  <si>
    <t xml:space="preserve">Explicar como o plano é montado com a pessoa (decisão compartilhada)</t>
  </si>
  <si>
    <t xml:space="preserve">O plano parte do que é importante para você e da sua rotina real, com ações nos pilares da MEV, e muda quando a vida muda.</t>
  </si>
  <si>
    <t xml:space="preserve">Responsável médica valida etapas e prazos de retorno e acompanhamento. Se usar o depoimento A1, confirmar o formato (CFM).</t>
  </si>
  <si>
    <t xml:space="preserve">Modelo M3 (card de interface do plano), já testado no carrossel de acolhimento.</t>
  </si>
  <si>
    <t xml:space="preserve">M1-09</t>
  </si>
  <si>
    <t xml:space="preserve">Entregas para o RH</t>
  </si>
  <si>
    <t xml:space="preserve">Bastidores: como nasce o relatório que o RH recebe</t>
  </si>
  <si>
    <t xml:space="preserve">O que eu recebo para acompanhar o programa? Vou ver dados individuais?</t>
  </si>
  <si>
    <t xml:space="preserve">Mostrar a entrega para a empresa e a regra de privacidade</t>
  </si>
  <si>
    <t xml:space="preserve">O RH acompanha o programa por indicadores do grupo, anonimizados e integrados ao fairdata. Nenhum dado individual.</t>
  </si>
  <si>
    <t xml:space="preserve">Time confirma quais indicadores entram no relatório. Tela genérica, sem dado real.</t>
  </si>
  <si>
    <t xml:space="preserve">Vídeo narrado pela Nina sobre painel genérico (cena C4). Modelo M9.</t>
  </si>
  <si>
    <t xml:space="preserve">Origem</t>
  </si>
  <si>
    <t xml:space="preserve">Tudo começou num hospital: do Escritório do Paciente ao Escritório do Cuidado</t>
  </si>
  <si>
    <t xml:space="preserve">RH e liderança; SESMT e medicina do trabalho</t>
  </si>
  <si>
    <t xml:space="preserve">De onde vem esse modelo? É só mais um programa de bem-estar?</t>
  </si>
  <si>
    <t xml:space="preserve">Dar lastro à marca com a história do modelo</t>
  </si>
  <si>
    <t xml:space="preserve">O modelo nasceu em 2009 para colocar o paciente no centro do cuidado. Hoje, coloca o colaborador, dentro do ecossistema FairJob.</t>
  </si>
  <si>
    <t xml:space="preserve">[PENDENTE] Quem idealizou o Escritório do Paciente. Conferir as datas da linha do tempo (Aims do IHI) com fonte.</t>
  </si>
  <si>
    <t xml:space="preserve">Modelo M2 (linha do tempo em passos).</t>
  </si>
  <si>
    <t xml:space="preserve">M1-11</t>
  </si>
  <si>
    <t xml:space="preserve">Pilar: sono</t>
  </si>
  <si>
    <t xml:space="preserve">Pilares da MEV (1: sono)</t>
  </si>
  <si>
    <t xml:space="preserve">Dormir não é tempo perdido</t>
  </si>
  <si>
    <t xml:space="preserve">Por que eu acordo cansado? O que dá para mudar na rotina?</t>
  </si>
  <si>
    <t xml:space="preserve">Educar sobre o pilar sono e mostrar como ele entra no cuidado</t>
  </si>
  <si>
    <t xml:space="preserve">Instagram</t>
  </si>
  <si>
    <t xml:space="preserve">Dormir não é tempo perdido, é investimento em saúde. No Escritório do Cuidado, o sono entra no plano a partir da sua rotina real.</t>
  </si>
  <si>
    <t xml:space="preserve">Responsável médica valida as orientações. Fonte: guia "Saúde mental: o cuidado no dia a dia" (higiene do sono).</t>
  </si>
  <si>
    <t xml:space="preserve">Modelo M9 com etiqueta "PILARES · SONO". Cenas D3 da sessão de fotos.</t>
  </si>
  <si>
    <t xml:space="preserve">M1-12</t>
  </si>
  <si>
    <t xml:space="preserve">Como começa numa empresa</t>
  </si>
  <si>
    <t xml:space="preserve">Como chega a uma empresa (1/2)</t>
  </si>
  <si>
    <t xml:space="preserve">Como o Escritório do Cuidado chega a uma empresa: diagnóstico, proposta e implantação</t>
  </si>
  <si>
    <t xml:space="preserve">RH e liderança; Diretoria financeira</t>
  </si>
  <si>
    <t xml:space="preserve">Quero isso na minha empresa. Por onde começa e o que acontece em cada etapa?</t>
  </si>
  <si>
    <t xml:space="preserve">Deixar clara a oferta e o primeiro passo comercial</t>
  </si>
  <si>
    <t xml:space="preserve">Começa com um diagnóstico gratuito, segue com uma proposta personalizada e chega à implantação, com onboarding e primeiros atendimentos. Comente CUIDADO.</t>
  </si>
  <si>
    <t xml:space="preserve">Não citar prazos de cada etapa sem confirmação. Confirmar o destino do link (www.fairhealth.com.br).</t>
  </si>
  <si>
    <t xml:space="preserve">Modelo M2 (3 passos) e chamada CUIDADO no último slide.</t>
  </si>
  <si>
    <t xml:space="preserve">M1-13</t>
  </si>
  <si>
    <t xml:space="preserve">Quem cuida (3/8)</t>
  </si>
  <si>
    <t xml:space="preserve">Quem cuida: Ronald</t>
  </si>
  <si>
    <t xml:space="preserve">FairJob; perfil de Ronald (se houver e se a pessoa quiser)</t>
  </si>
  <si>
    <t xml:space="preserve">[Resposta de Ronald a "O que é importante para você?"]</t>
  </si>
  <si>
    <t xml:space="preserve">M1-14</t>
  </si>
  <si>
    <t xml:space="preserve">Tecnologia: wearables</t>
  </si>
  <si>
    <t xml:space="preserve">Como funciona o cuidado (3/3): o acompanhamento</t>
  </si>
  <si>
    <t xml:space="preserve">O cuidado não para quando a consulta acaba</t>
  </si>
  <si>
    <t xml:space="preserve">Para que serve a pulseira? Vão me vigiar?</t>
  </si>
  <si>
    <t xml:space="preserve">Explicar o acompanhamento com tecnologia e a regra de privacidade</t>
  </si>
  <si>
    <t xml:space="preserve">A smartband e a bioimpedância ajudam a olhar, junto com a pessoa, como foram as últimas semanas. Os dados ficam no atendimento; o RH vê só o grupo.</t>
  </si>
  <si>
    <t xml:space="preserve">[PENDENTE] Quais dados a smartband registra e se todos os atendidos usam a pulseira (instagram/posts/wearables/README.md).</t>
  </si>
  <si>
    <t xml:space="preserve">Arte pronta em instagram/posts/wearables (8 slides); a capa ainda espera a foto A1. Adaptar ao visual atual.</t>
  </si>
  <si>
    <t xml:space="preserve">M1-15</t>
  </si>
  <si>
    <t xml:space="preserve">[Registro do mês: workshop, evento ou entrega, a confirmar]</t>
  </si>
  <si>
    <t xml:space="preserve">A definir</t>
  </si>
  <si>
    <t xml:space="preserve">O que a Fair Health está fazendo agora?</t>
  </si>
  <si>
    <t xml:space="preserve">Mostrar movimento real e prova social</t>
  </si>
  <si>
    <t xml:space="preserve">FairJob; parceiros envolvidos (se autorizarem)</t>
  </si>
  <si>
    <t xml:space="preserve">Agenda de eventos e entregas do mês. Autorizações de imagem.</t>
  </si>
  <si>
    <t xml:space="preserve">Aguardando pauta</t>
  </si>
  <si>
    <t xml:space="preserve">Modelo M7 (bastidor).</t>
  </si>
  <si>
    <t xml:space="preserve">M1-16</t>
  </si>
  <si>
    <t xml:space="preserve">Quem cuida (4/8)</t>
  </si>
  <si>
    <t xml:space="preserve">Quem cuida: Floriana</t>
  </si>
  <si>
    <t xml:space="preserve">FairJob; perfil de Floriana (se houver e se a pessoa quiser)</t>
  </si>
  <si>
    <t xml:space="preserve">[Resposta de Floriana a "O que é importante para você?"]</t>
  </si>
  <si>
    <t xml:space="preserve">M2-01</t>
  </si>
  <si>
    <t xml:space="preserve">Implantação</t>
  </si>
  <si>
    <t xml:space="preserve">Como chega a uma empresa (2/2)</t>
  </si>
  <si>
    <t xml:space="preserve">Bastidores de uma implantação: os primeiros atendimentos numa empresa</t>
  </si>
  <si>
    <t xml:space="preserve">Como é, na prática, o começo do Escritório do Cuidado numa empresa?</t>
  </si>
  <si>
    <t xml:space="preserve">Mostrar uma implantação real, continuando o post M1-12</t>
  </si>
  <si>
    <t xml:space="preserve">Do onboarding aos primeiros atendimentos, o cuidado chega perto de quem trabalha.</t>
  </si>
  <si>
    <t xml:space="preserve">Empresa, datas e autorização de imagem a confirmar. Nenhum colaborador atendido identificável.</t>
  </si>
  <si>
    <t xml:space="preserve">M2-02</t>
  </si>
  <si>
    <t xml:space="preserve">NR-1 (1/4): contexto</t>
  </si>
  <si>
    <t xml:space="preserve">NR-1: o que muda quando os riscos psicossociais entram na gestão</t>
  </si>
  <si>
    <t xml:space="preserve">O que a NR-1 passa a pedir da minha empresa e por onde eu começo?</t>
  </si>
  <si>
    <t xml:space="preserve">Informar com rigor e mostrar que cumprir a norma é mudar o dia a dia, não só preencher documento</t>
  </si>
  <si>
    <t xml:space="preserve">Adequar-se à NR-1 não é só preencher a planilha de riscos. Se nada muda no dia a dia de quem trabalha, a empresa continua exposta.</t>
  </si>
  <si>
    <t xml:space="preserve">Texto da norma, prazos e obrigações com fonte oficial (Ministério do Trabalho). A mensagem usa a posição [SUGESTÃO] 1 do voice.md, que precisa de aprovação. Revisão da responsável médica.</t>
  </si>
  <si>
    <t xml:space="preserve">Modelo M2 (passos) com fonte no rodapé (M6).</t>
  </si>
  <si>
    <t xml:space="preserve">M2-03</t>
  </si>
  <si>
    <t xml:space="preserve">Quem cuida (5/8)</t>
  </si>
  <si>
    <t xml:space="preserve">Quem cuida: Renata</t>
  </si>
  <si>
    <t xml:space="preserve">FairJob; perfil de Renata (se houver e se a pessoa quiser)</t>
  </si>
  <si>
    <t xml:space="preserve">[Resposta de Renata a "O que é importante para você?"]</t>
  </si>
  <si>
    <t xml:space="preserve">M2-04</t>
  </si>
  <si>
    <t xml:space="preserve">Pilar: saúde mental e estresse</t>
  </si>
  <si>
    <t xml:space="preserve">Pilares da MEV (2: saúde mental e estresse)</t>
  </si>
  <si>
    <t xml:space="preserve">Quando o estresse não passa no fim de semana</t>
  </si>
  <si>
    <t xml:space="preserve">Isso que eu sinto é normal? Quando vale procurar ajuda?</t>
  </si>
  <si>
    <t xml:space="preserve">Educar com fonte, acolher e mostrar que há psicólogos por perto</t>
  </si>
  <si>
    <t xml:space="preserve">Estresse que não passa merece atenção. No Escritório do Cuidado, médicos e psicólogos estão perto para conversar. Em crise, o CVV atende pelo 188.</t>
  </si>
  <si>
    <t xml:space="preserve">Responsável médica. Fontes do guia (OMS, APA, IPq-USP). Fechar com onde pedir ajuda (CVV 188, CAPS).</t>
  </si>
  <si>
    <t xml:space="preserve">Modelo M5 (pilar).</t>
  </si>
  <si>
    <t xml:space="preserve">M2-05</t>
  </si>
  <si>
    <t xml:space="preserve">Quem cuida (6/8)</t>
  </si>
  <si>
    <t xml:space="preserve">Quem cuida: Liliane</t>
  </si>
  <si>
    <t xml:space="preserve">FairJob; perfil de Liliane (se houver e se a pessoa quiser)</t>
  </si>
  <si>
    <t xml:space="preserve">[Resposta de Liliane a "O que é importante para você?"]</t>
  </si>
  <si>
    <t xml:space="preserve">Resultados liberados</t>
  </si>
  <si>
    <t xml:space="preserve">Da intenção à evidência (1: adesão e retorno)</t>
  </si>
  <si>
    <t xml:space="preserve">Chemitec, 1º semestre de 2026: as pessoas usam e voltam</t>
  </si>
  <si>
    <t xml:space="preserve">Os colaboradores usam de verdade um programa como esse?</t>
  </si>
  <si>
    <t xml:space="preserve">Provar adesão com dado real e agregado</t>
  </si>
  <si>
    <t xml:space="preserve">FairJob; Chemitec (se autorizar a marcação)</t>
  </si>
  <si>
    <t xml:space="preserve">161 atendimentos e 48 colaboradores atendidos (98% de adesão); 81,3% voltaram para dois ou mais atendimentos.</t>
  </si>
  <si>
    <t xml:space="preserve">Dados liberados (voice.md), sempre agregados. Confirmar se a empresa autoriza ser marcada ou convidada para a collab.</t>
  </si>
  <si>
    <t xml:space="preserve">Modelo M6 (dado com fonte).</t>
  </si>
  <si>
    <t xml:space="preserve">M2-07</t>
  </si>
  <si>
    <t xml:space="preserve">NR-1 para quem trabalha</t>
  </si>
  <si>
    <t xml:space="preserve">NR-1 (versão para colaboradores)</t>
  </si>
  <si>
    <t xml:space="preserve">Seu bem-estar no trabalho também é assunto da empresa</t>
  </si>
  <si>
    <t xml:space="preserve">O que essa tal de NR-1 tem a ver comigo?</t>
  </si>
  <si>
    <t xml:space="preserve">Traduzir a NR-1 para quem trabalha e apresentar o Escritório como canal de cuidado</t>
  </si>
  <si>
    <t xml:space="preserve">A NR-1 pede que a empresa olhe também para o que pesa no dia a dia de quem trabalha. O Escritório do Cuidado é um dos lugares onde isso acontece.</t>
  </si>
  <si>
    <t xml:space="preserve">Texto da norma com fonte oficial. Revisão da responsável médica.</t>
  </si>
  <si>
    <t xml:space="preserve">Modelo M9 (profissional para a câmera).</t>
  </si>
  <si>
    <t xml:space="preserve">M2-08</t>
  </si>
  <si>
    <t xml:space="preserve">Ecossistema FairJob</t>
  </si>
  <si>
    <t xml:space="preserve">Fair Health no ecossistema FairJob: medir, cuidar, provar, propagar</t>
  </si>
  <si>
    <t xml:space="preserve">Quem está por trás da Fair Health e como ela se conecta ao resto?</t>
  </si>
  <si>
    <t xml:space="preserve">Situar a marca no ecossistema e reforçar a parceria com a FairJob</t>
  </si>
  <si>
    <t xml:space="preserve">Dentro do ecossistema FairJob, a Fair Health é o cuidar.</t>
  </si>
  <si>
    <t xml:space="preserve">Confirmar com a FairJob como o ecossistema é descrito hoje e quais marcas citar.</t>
  </si>
  <si>
    <t xml:space="preserve">Modelo M2.</t>
  </si>
  <si>
    <t xml:space="preserve">M2-09</t>
  </si>
  <si>
    <t xml:space="preserve">NR-1 (2/4): diagnóstico</t>
  </si>
  <si>
    <t xml:space="preserve">Como enxergar o que pesa no dia a dia do time</t>
  </si>
  <si>
    <t xml:space="preserve">Como identifico os riscos psicossociais sem expor ninguém?</t>
  </si>
  <si>
    <t xml:space="preserve">Mostrar o papel da escuta e dos indicadores anonimizados no diagnóstico</t>
  </si>
  <si>
    <t xml:space="preserve">Escuta individual e indicadores do grupo, anonimizados, mostram onde agir sem expor ninguém.</t>
  </si>
  <si>
    <t xml:space="preserve">Responsável médica. Confirmar o que a plataforma de indicadores entrega (Executive Summary cita programa de prevenção de riscos psicossociais e plataforma de indicadores).</t>
  </si>
  <si>
    <t xml:space="preserve">Modelo M9.</t>
  </si>
  <si>
    <t xml:space="preserve">M2-10</t>
  </si>
  <si>
    <t xml:space="preserve">Depoimentos</t>
  </si>
  <si>
    <t xml:space="preserve">Da intenção à evidência (2: experiência de quem é cuidado)</t>
  </si>
  <si>
    <t xml:space="preserve">"O processo não precisa ser perfeito para estar funcionando."</t>
  </si>
  <si>
    <t xml:space="preserve">Como é ser cuidado pelo Escritório do Cuidado?</t>
  </si>
  <si>
    <t xml:space="preserve">Mostrar a experiência de quem é atendido, sem prometer resultado</t>
  </si>
  <si>
    <t xml:space="preserve">Foto única</t>
  </si>
  <si>
    <t xml:space="preserve">Cuidado centrado na pessoa: constância vale mais que perfeição.</t>
  </si>
  <si>
    <t xml:space="preserve">Trecho B1 aprovado (instagram/depoimentos.md). Confirmar o formato com a responsável médica (publicidade médica, CFM). Assinatura padrão e logo em coração.</t>
  </si>
  <si>
    <t xml:space="preserve">Modelo M8 (citação).</t>
  </si>
  <si>
    <t xml:space="preserve">M2-11</t>
  </si>
  <si>
    <t xml:space="preserve">Quem cuida (7/8)</t>
  </si>
  <si>
    <t xml:space="preserve">Quem cuida: Fernando</t>
  </si>
  <si>
    <t xml:space="preserve">FairJob; perfil de Fernando (se houver e se a pessoa quiser)</t>
  </si>
  <si>
    <t xml:space="preserve">[Resposta de Fernando a "O que é importante para você?"]</t>
  </si>
  <si>
    <t xml:space="preserve">M2-12</t>
  </si>
  <si>
    <t xml:space="preserve">Seus dados, seu cuidado: o que fica no atendimento e o que o RH vê</t>
  </si>
  <si>
    <t xml:space="preserve">Vão saber o que eu contei? O que a empresa enxerga?</t>
  </si>
  <si>
    <t xml:space="preserve">Dar segurança sobre privacidade e explicar os relatórios anonimizados</t>
  </si>
  <si>
    <t xml:space="preserve">O que você conta fica entre você e quem cuida. A empresa recebe só indicadores do grupo, sem identificar ninguém.</t>
  </si>
  <si>
    <t xml:space="preserve">Confirmar com o time a descrição do fluxo de dados e da LGPD.</t>
  </si>
  <si>
    <t xml:space="preserve">Modelo M3 (cards de interface).</t>
  </si>
  <si>
    <t xml:space="preserve">M2-13</t>
  </si>
  <si>
    <t xml:space="preserve">Por dentro de um workshop nos pilares [tema e data a confirmar]</t>
  </si>
  <si>
    <t xml:space="preserve">Como é um encontro de letramento na prática?</t>
  </si>
  <si>
    <t xml:space="preserve">Registrar uma entrega real do programa</t>
  </si>
  <si>
    <t xml:space="preserve">FairJob; empresa-cliente (se autorizar)</t>
  </si>
  <si>
    <t xml:space="preserve">A definir com o registro</t>
  </si>
  <si>
    <t xml:space="preserve">Data, tema e autorização de imagem. Ninguém atendido identificável.</t>
  </si>
  <si>
    <t xml:space="preserve">Modelo M7.</t>
  </si>
  <si>
    <t xml:space="preserve">M2-14</t>
  </si>
  <si>
    <t xml:space="preserve">NR-1 (3/4): cuidado individualizado</t>
  </si>
  <si>
    <t xml:space="preserve">Onde o Escritório do Cuidado entra na NR-1</t>
  </si>
  <si>
    <t xml:space="preserve">Isso substitui o SST ou o plano de saúde?</t>
  </si>
  <si>
    <t xml:space="preserve">Explicar como o Escritório complementa o SST e o plano de saúde na prevenção</t>
  </si>
  <si>
    <t xml:space="preserve">O Escritório do Cuidado complementa o SST e o plano de saúde: leva prevenção e cuidado individualizado para perto de quem trabalha.</t>
  </si>
  <si>
    <t xml:space="preserve">Responsável médica. Não prometer conformidade com a norma.</t>
  </si>
  <si>
    <t xml:space="preserve">M2-15</t>
  </si>
  <si>
    <t xml:space="preserve">Quem cuida (8/8)</t>
  </si>
  <si>
    <t xml:space="preserve">Quem cuida: Charles</t>
  </si>
  <si>
    <t xml:space="preserve">FairJob; perfil de Charles (se houver e se a pessoa quiser)</t>
  </si>
  <si>
    <t xml:space="preserve">[Resposta de Charles a "O que é importante para você?"]</t>
  </si>
  <si>
    <t xml:space="preserve">M2-16</t>
  </si>
  <si>
    <t xml:space="preserve">Pilar: relações sociais</t>
  </si>
  <si>
    <t xml:space="preserve">Pilares da MEV (3: relações sociais)</t>
  </si>
  <si>
    <t xml:space="preserve">Cuidar dos vínculos é cuidar da saúde</t>
  </si>
  <si>
    <t xml:space="preserve">As relações no trabalho afetam a minha saúde?</t>
  </si>
  <si>
    <t xml:space="preserve">Educar sobre o pilar e conectar com o cuidado em grupo</t>
  </si>
  <si>
    <t xml:space="preserve">Cuidar dos vínculos é cuidar da saúde.</t>
  </si>
  <si>
    <t xml:space="preserve">Responsável médica valida as orientações.</t>
  </si>
  <si>
    <t xml:space="preserve">M3-01</t>
  </si>
  <si>
    <t xml:space="preserve">Quem cuida (fechamento)</t>
  </si>
  <si>
    <t xml:space="preserve">Oito pessoas, uma pergunta: o que é importante para você?</t>
  </si>
  <si>
    <t xml:space="preserve">Quem é esse time, junto?</t>
  </si>
  <si>
    <t xml:space="preserve">Fechar a série do time e reforçar a pergunta da marca</t>
  </si>
  <si>
    <t xml:space="preserve">FairJob; integrantes</t>
  </si>
  <si>
    <t xml:space="preserve">Pessoas diferentes, um mesmo jeito de cuidar.</t>
  </si>
  <si>
    <t xml:space="preserve">Trechos curtos de cada integrante (podem vir dos vídeos da série).</t>
  </si>
  <si>
    <t xml:space="preserve">Ideia</t>
  </si>
  <si>
    <t xml:space="preserve">M3-02</t>
  </si>
  <si>
    <t xml:space="preserve">Pilar: alimentação</t>
  </si>
  <si>
    <t xml:space="preserve">Pilares da MEV (4: alimentação)</t>
  </si>
  <si>
    <t xml:space="preserve">Comer bem é cuidar do corpo e também da mente</t>
  </si>
  <si>
    <t xml:space="preserve">Como comer melhor numa rotina corrida, sem dieta impossível?</t>
  </si>
  <si>
    <t xml:space="preserve">Educar sobre o pilar e mostrar como ele entra no plano</t>
  </si>
  <si>
    <t xml:space="preserve">Comer bem é cuidar do corpo e também da mente. No plano, a alimentação parte da sua rotina real.</t>
  </si>
  <si>
    <t xml:space="preserve">Responsável médica. Nenhum número da cartilha sem fonte verificada.</t>
  </si>
  <si>
    <t xml:space="preserve">Modelo M5.</t>
  </si>
  <si>
    <t xml:space="preserve">M3-03</t>
  </si>
  <si>
    <t xml:space="preserve">Da intenção à evidência (3: adesão entre colegas)</t>
  </si>
  <si>
    <t xml:space="preserve">"Ela não gosta de gravar vídeo. Gravou um mesmo assim."</t>
  </si>
  <si>
    <t xml:space="preserve">Os colegas recomendam?</t>
  </si>
  <si>
    <t xml:space="preserve">Mostrar adesão espontânea com trechos aprovados</t>
  </si>
  <si>
    <t xml:space="preserve">"O que é bom a gente tem que compartilhar."</t>
  </si>
  <si>
    <t xml:space="preserve">Trechos A1 a A6 aprovados; o vídeo original não é postado. Formato confirmado com a responsável médica (CFM).</t>
  </si>
  <si>
    <t xml:space="preserve">Modelo M8 animado (trechos em cards).</t>
  </si>
  <si>
    <t xml:space="preserve">M3-04</t>
  </si>
  <si>
    <t xml:space="preserve">Quem cuida de quem cuida</t>
  </si>
  <si>
    <t xml:space="preserve">Quem cuida também precisa ser cuidado</t>
  </si>
  <si>
    <t xml:space="preserve">Por que a Fair Health fala também de quem cuida?</t>
  </si>
  <si>
    <t xml:space="preserve">Mostrar a visão integrada do cuidado (dos Aims da saúde à empresa)</t>
  </si>
  <si>
    <t xml:space="preserve">Cuidado bom é bom para quem recebe e para quem cuida.</t>
  </si>
  <si>
    <t xml:space="preserve">Conceitos e datas dos Aims (IHI) com fonte.</t>
  </si>
  <si>
    <t xml:space="preserve">M3-05</t>
  </si>
  <si>
    <t xml:space="preserve">NR-1 (4/4): acompanhamento</t>
  </si>
  <si>
    <t xml:space="preserve">A NR-1 não termina no diagnóstico: como acompanhar ao longo do ano</t>
  </si>
  <si>
    <t xml:space="preserve">Fiz o diagnóstico. Como sei se o que estamos fazendo funciona?</t>
  </si>
  <si>
    <t xml:space="preserve">Mostrar acompanhamento contínuo e indicadores</t>
  </si>
  <si>
    <t xml:space="preserve">Cuidado sem dado é intenção. O acompanhamento mostra o que muda ao longo do programa.</t>
  </si>
  <si>
    <t xml:space="preserve">Responsável médica. Posição [SUGESTÃO] 4 do voice.md precisa de aprovação.</t>
  </si>
  <si>
    <t xml:space="preserve">M3-06</t>
  </si>
  <si>
    <t xml:space="preserve">Case e evento</t>
  </si>
  <si>
    <t xml:space="preserve">Da intenção à evidência (4: experiência)</t>
  </si>
  <si>
    <t xml:space="preserve">Onde o modelo começou: de 34 para cerca de 20 reclamações por mês</t>
  </si>
  <si>
    <t xml:space="preserve">Esse modelo já funcionou em algum lugar?</t>
  </si>
  <si>
    <t xml:space="preserve">Mostrar o case do Hospital Dia Santo Amaro, apresentado em congresso</t>
  </si>
  <si>
    <t xml:space="preserve">No Hospital Dia Santo Amaro, as reclamações mensais caíram de 34 para cerca de 20, com 98,2% de conformidade média dos processos.</t>
  </si>
  <si>
    <t xml:space="preserve">Dados liberados (voice.md). Citar o congresso com nome e ano corretos.</t>
  </si>
  <si>
    <t xml:space="preserve">Modelo M6.</t>
  </si>
  <si>
    <t xml:space="preserve">M3-07</t>
  </si>
  <si>
    <t xml:space="preserve">Relacionamento</t>
  </si>
  <si>
    <t xml:space="preserve">O que é importante para você em 2027?</t>
  </si>
  <si>
    <t xml:space="preserve">(Convite à participação) O que eu quero cuidar no próximo ano?</t>
  </si>
  <si>
    <t xml:space="preserve">Gerar conversa e coletar respostas para pautas futuras</t>
  </si>
  <si>
    <t xml:space="preserve">Todo cuidado começa com uma pergunta. Esta é a nossa para o seu próximo ano.</t>
  </si>
  <si>
    <t xml:space="preserve">Caixa de perguntas nos Stories antes da gravação.</t>
  </si>
  <si>
    <t xml:space="preserve">Modelo M9 com respostas do time.</t>
  </si>
  <si>
    <t xml:space="preserve">M3-08</t>
  </si>
  <si>
    <t xml:space="preserve">Indicadores</t>
  </si>
  <si>
    <t xml:space="preserve">Da intenção à evidência (o conjunto)</t>
  </si>
  <si>
    <t xml:space="preserve">Indicadores que o RH deve acompanhar: adesão, retorno, absenteísmo, presenteísmo, clima e sinistralidade</t>
  </si>
  <si>
    <t xml:space="preserve">Quais números mostram que o cuidado está funcionando?</t>
  </si>
  <si>
    <t xml:space="preserve">Educar o decisor sobre indicadores e posicionar o relatório</t>
  </si>
  <si>
    <t xml:space="preserve">Adesão é o primeiro resultado a medir. Os outros indicadores vêm ao longo do programa.</t>
  </si>
  <si>
    <t xml:space="preserve">Definição de cada indicador. Posição [SUGESTÃO] 3 do voice.md precisa de aprovação.</t>
  </si>
  <si>
    <t xml:space="preserve">M3-09</t>
  </si>
  <si>
    <t xml:space="preserve">Entregas do ano</t>
  </si>
  <si>
    <t xml:space="preserve">2026 em entregas [dados a confirmar]</t>
  </si>
  <si>
    <t xml:space="preserve">O que a Fair Health já entregou?</t>
  </si>
  <si>
    <t xml:space="preserve">Mostrar movimento e prova social</t>
  </si>
  <si>
    <t xml:space="preserve">FairJob; clientes (se autorizarem)</t>
  </si>
  <si>
    <t xml:space="preserve">A definir com os dados liberados do ano</t>
  </si>
  <si>
    <t xml:space="preserve">Usar somente números liberados.</t>
  </si>
  <si>
    <t xml:space="preserve">M3-10</t>
  </si>
  <si>
    <t xml:space="preserve">Por que existimos</t>
  </si>
  <si>
    <t xml:space="preserve">Da intenção à evidência (afastamento)</t>
  </si>
  <si>
    <t xml:space="preserve">O afastamento não começa no atestado</t>
  </si>
  <si>
    <t xml:space="preserve">Por que o RH só percebe o problema quando já virou afastamento?</t>
  </si>
  <si>
    <t xml:space="preserve">Explicar por que a Fair Health existe e apresentar o argumento da prevenção</t>
  </si>
  <si>
    <t xml:space="preserve">O adoecimento começa antes do atestado, na rotina. A Fair Health existe para cuidar antes.</t>
  </si>
  <si>
    <t xml:space="preserve">Arte existente (instagram/posts/estreia, #1) a adaptar ao visual atual. HBR 2022 (−28% de absenteísmo) só com a fonte no slide.</t>
  </si>
  <si>
    <t xml:space="preserve">Modelo M6 no slide do dado.</t>
  </si>
  <si>
    <t xml:space="preserve">M3-11</t>
  </si>
  <si>
    <t xml:space="preserve">Sinistralidade</t>
  </si>
  <si>
    <t xml:space="preserve">Sinistralidade alta não se resolve trocando de plano</t>
  </si>
  <si>
    <t xml:space="preserve">O reajuste do plano veio alto de novo. O que dá para fazer além de trocar de operadora?</t>
  </si>
  <si>
    <t xml:space="preserve">Posicionar a Fair Health na causa raiz, com opinião</t>
  </si>
  <si>
    <t xml:space="preserve">Sinistralidade se resolve tratando a causa antes que ela vire conta.</t>
  </si>
  <si>
    <t xml:space="preserve">Posição [SUGESTÃO] 2 do voice.md precisa de aprovação. Não prometer redução de custo; SHRM 2023 (−22%) só com a fonte.</t>
  </si>
  <si>
    <t xml:space="preserve">Modelo M9 (opinião para a câmera).</t>
  </si>
  <si>
    <t xml:space="preserve">M3-12</t>
  </si>
  <si>
    <t xml:space="preserve">Eventos</t>
  </si>
  <si>
    <t xml:space="preserve">Do palco do TEDx: felicidade e saúde mental no trabalho</t>
  </si>
  <si>
    <t xml:space="preserve">Quem pensa a Fair Health e o que ela defende?</t>
  </si>
  <si>
    <t xml:space="preserve">Trazer a autoridade do fundador a partir de um evento público</t>
  </si>
  <si>
    <t xml:space="preserve">FairJob; Fernando Brancaccio</t>
  </si>
  <si>
    <t xml:space="preserve">A definir a partir da palestra</t>
  </si>
  <si>
    <t xml:space="preserve">Confirmar conteúdo, link e direito de uso de trechos da palestra.</t>
  </si>
  <si>
    <t xml:space="preserve">Modelo M8 (citações da palestra).</t>
  </si>
  <si>
    <t xml:space="preserve">M3-13</t>
  </si>
  <si>
    <t xml:space="preserve">Crenças</t>
  </si>
  <si>
    <t xml:space="preserve">Fazemos o certo pelos motivos certos: o que isso quer dizer na prática</t>
  </si>
  <si>
    <t xml:space="preserve">No que a Fair Health acredita?</t>
  </si>
  <si>
    <t xml:space="preserve">Reforçar valores com exemplos reais do jeito de cuidar</t>
  </si>
  <si>
    <t xml:space="preserve">O retorno é consequência, não ponto de partida.</t>
  </si>
  <si>
    <t xml:space="preserve">Exemplos reais escolhidos com o time.</t>
  </si>
  <si>
    <t xml:space="preserve">M3-14</t>
  </si>
  <si>
    <t xml:space="preserve">Pilar: propósito</t>
  </si>
  <si>
    <t xml:space="preserve">Pilares da MEV (5: propósito e espiritualidade)</t>
  </si>
  <si>
    <t xml:space="preserve">Propósito também é pilar de saúde</t>
  </si>
  <si>
    <t xml:space="preserve">O que propósito tem a ver com saúde?</t>
  </si>
  <si>
    <t xml:space="preserve">Educar sobre o pilar e conectar com a pergunta da marca</t>
  </si>
  <si>
    <t xml:space="preserve">Saber o que é importante para você também é cuidar da saúde.</t>
  </si>
  <si>
    <t xml:space="preserve">Responsável médica valida a abordagem do pilar.</t>
  </si>
  <si>
    <t xml:space="preserve">M3-15</t>
  </si>
  <si>
    <t xml:space="preserve">M3-16</t>
  </si>
  <si>
    <t xml:space="preserve">Oferta</t>
  </si>
  <si>
    <t xml:space="preserve">Diagnóstico gratuito: o primeiro passo para levar o Escritório do Cuidado à sua empresa</t>
  </si>
  <si>
    <t xml:space="preserve">Como eu levo isso para a minha empresa?</t>
  </si>
  <si>
    <t xml:space="preserve">Converter com uma chamada comercial clara</t>
  </si>
  <si>
    <t xml:space="preserve">Comente CUIDADO e enviamos como funciona o diagnóstico gratuito.</t>
  </si>
  <si>
    <t xml:space="preserve">Confirmar o destino do link (site) e quem responde os comentários e DMs.</t>
  </si>
  <si>
    <t xml:space="preserve">Modelo M1 (capa) e M2 (passos).</t>
  </si>
  <si>
    <t xml:space="preserve">Públicos (provisórios)</t>
  </si>
  <si>
    <t xml:space="preserve">Instagram Stories</t>
  </si>
  <si>
    <t xml:space="preserve">Pauta aprovada</t>
  </si>
  <si>
    <t xml:space="preserve">Stories</t>
  </si>
  <si>
    <t xml:space="preserve">LinkedIn</t>
  </si>
  <si>
    <t xml:space="preserve">Mês 4</t>
  </si>
  <si>
    <t xml:space="preserve">Mês 5</t>
  </si>
  <si>
    <t xml:space="preserve">Mês 6</t>
  </si>
  <si>
    <t xml:space="preserve">Em produção</t>
  </si>
  <si>
    <t xml:space="preserve">Mês 7</t>
  </si>
  <si>
    <t xml:space="preserve">Mês 8</t>
  </si>
  <si>
    <t xml:space="preserve">Validação médica</t>
  </si>
  <si>
    <t xml:space="preserve">Mês 9</t>
  </si>
  <si>
    <t xml:space="preserve">Aprovado</t>
  </si>
  <si>
    <t xml:space="preserve">Mês 10</t>
  </si>
  <si>
    <t xml:space="preserve">Agendado</t>
  </si>
  <si>
    <t xml:space="preserve">Mês 11</t>
  </si>
  <si>
    <t xml:space="preserve">Publicado</t>
  </si>
  <si>
    <t xml:space="preserve">Mês 12</t>
  </si>
  <si>
    <t xml:space="preserve">Descartada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</si>
</sst>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3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3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3A3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FC5BD"/>
        <bgColor rgb="FF99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2"/>
      </left>
      <right style="thin">
        <color rgb="FFC9D6D2"/>
      </right>
      <top style="thin">
        <color rgb="FFC9D6D2"/>
      </top>
      <bottom style="thin">
        <color rgb="FFC9D6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9FC5B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A36"/>
          <bgColor rgb="FF000000"/>
        </patternFill>
      </fill>
    </dxf>
    <dxf>
      <fill>
        <patternFill patternType="solid">
          <fgColor rgb="FFD7EAE5"/>
          <bgColor rgb="FF000000"/>
        </patternFill>
      </fill>
    </dxf>
    <dxf>
      <fill>
        <patternFill patternType="solid">
          <fgColor rgb="FFDFE4F0"/>
          <bgColor rgb="FF000000"/>
        </patternFill>
      </fill>
    </dxf>
    <dxf>
      <fill>
        <patternFill patternType="solid">
          <fgColor rgb="FFF7EBC5"/>
          <bgColor rgb="FF000000"/>
        </patternFill>
      </fill>
    </dxf>
    <dxf>
      <fill>
        <patternFill>
          <bgColor rgb="FFD7EAE5"/>
        </patternFill>
      </fill>
    </dxf>
    <dxf>
      <fill>
        <patternFill>
          <bgColor rgb="FFF7EBC5"/>
        </patternFill>
      </fill>
    </dxf>
    <dxf>
      <fill>
        <patternFill>
          <bgColor rgb="FFDFE4F0"/>
        </patternFill>
      </fill>
    </dxf>
    <dxf>
      <font>
        <name val="Arial"/>
        <charset val="1"/>
        <family val="0"/>
        <b val="1"/>
        <color rgb="FF1F3A3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C5BD"/>
      <rgbColor rgb="FF808080"/>
      <rgbColor rgb="FF9999FF"/>
      <rgbColor rgb="FF993366"/>
      <rgbColor rgb="FFF7EBC5"/>
      <rgbColor rgb="FFDFE4F0"/>
      <rgbColor rgb="FF660066"/>
      <rgbColor rgb="FFFF8080"/>
      <rgbColor rgb="FF0066CC"/>
      <rgbColor rgb="FFC9D6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40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4" t="s">
        <v>26</v>
      </c>
    </row>
    <row r="2" customFormat="false" ht="15" hidden="false" customHeight="false" outlineLevel="0" collapsed="false">
      <c r="A2" s="5" t="s">
        <v>27</v>
      </c>
    </row>
    <row r="4" customFormat="false" ht="23.8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</row>
    <row r="5" customFormat="false" ht="46.25" hidden="false" customHeight="false" outlineLevel="0" collapsed="false">
      <c r="A5" s="7" t="s">
        <v>43</v>
      </c>
      <c r="B5" s="7" t="str">
        <f aca="false">TEXT(Calendário!$D$2+0,"DD/MM")&amp;" a "&amp;TEXT(Calendário!$D$2+27,"DD/MM")</f>
        <v>19/10 a 15/11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7" t="n">
        <f aca="false">COUNTIFS(Calendário!$B$5:$B$400,$A5)</f>
        <v>16</v>
      </c>
      <c r="J5" s="7" t="n">
        <f aca="false">COUNTIFS(Calendário!$B$5:$B$400,$A5,Calendário!$E$5:$E$400,"Institucional")</f>
        <v>6</v>
      </c>
      <c r="K5" s="7" t="n">
        <f aca="false">COUNTIFS(Calendário!$B$5:$B$400,$A5,Calendário!$E$5:$E$400,"Produto")</f>
        <v>5</v>
      </c>
      <c r="L5" s="7" t="n">
        <f aca="false">COUNTIFS(Calendário!$B$5:$B$400,$A5,Calendário!$E$5:$E$400,"Projetos, eventos e entregas")</f>
        <v>5</v>
      </c>
      <c r="M5" s="7" t="n">
        <f aca="false">COUNTIFS(Calendário!$B$5:$B$400,$A5,Calendário!$L$5:$L$400,"Vídeo")</f>
        <v>8</v>
      </c>
      <c r="N5" s="7" t="n">
        <f aca="false">I5-M5</f>
        <v>8</v>
      </c>
      <c r="O5" s="7" t="n">
        <f aca="false">SUMPRODUCT((Calendário!$B$5:$B$400=$A5)*ISNUMBER(SEARCH("responsável médica",Calendário!$P$5:$P$400)))</f>
        <v>4</v>
      </c>
    </row>
    <row r="6" customFormat="false" ht="35.05" hidden="false" customHeight="false" outlineLevel="0" collapsed="false">
      <c r="A6" s="7" t="s">
        <v>50</v>
      </c>
      <c r="B6" s="7" t="str">
        <f aca="false">TEXT(Calendário!$D$2+28,"DD/MM")&amp;" a "&amp;TEXT(Calendário!$D$2+55,"DD/MM")</f>
        <v>16/11 a 13/12</v>
      </c>
      <c r="C6" s="7" t="s">
        <v>51</v>
      </c>
      <c r="D6" s="7" t="s">
        <v>52</v>
      </c>
      <c r="E6" s="7" t="s">
        <v>53</v>
      </c>
      <c r="F6" s="7" t="s">
        <v>54</v>
      </c>
      <c r="G6" s="7" t="s">
        <v>55</v>
      </c>
      <c r="H6" s="7" t="s">
        <v>56</v>
      </c>
      <c r="I6" s="7" t="n">
        <f aca="false">COUNTIFS(Calendário!$B$5:$B$400,$A6)</f>
        <v>16</v>
      </c>
      <c r="J6" s="7" t="n">
        <f aca="false">COUNTIFS(Calendário!$B$5:$B$400,$A6,Calendário!$E$5:$E$400,"Institucional")</f>
        <v>5</v>
      </c>
      <c r="K6" s="7" t="n">
        <f aca="false">COUNTIFS(Calendário!$B$5:$B$400,$A6,Calendário!$E$5:$E$400,"Produto")</f>
        <v>7</v>
      </c>
      <c r="L6" s="7" t="n">
        <f aca="false">COUNTIFS(Calendário!$B$5:$B$400,$A6,Calendário!$E$5:$E$400,"Projetos, eventos e entregas")</f>
        <v>4</v>
      </c>
      <c r="M6" s="7" t="n">
        <f aca="false">COUNTIFS(Calendário!$B$5:$B$400,$A6,Calendário!$L$5:$L$400,"Vídeo")</f>
        <v>8</v>
      </c>
      <c r="N6" s="7" t="n">
        <f aca="false">I6-M6</f>
        <v>8</v>
      </c>
      <c r="O6" s="7" t="n">
        <f aca="false">SUMPRODUCT((Calendário!$B$5:$B$400=$A6)*ISNUMBER(SEARCH("responsável médica",Calendário!$P$5:$P$400)))</f>
        <v>7</v>
      </c>
    </row>
    <row r="7" customFormat="false" ht="35.05" hidden="false" customHeight="false" outlineLevel="0" collapsed="false">
      <c r="A7" s="7" t="s">
        <v>57</v>
      </c>
      <c r="B7" s="7" t="str">
        <f aca="false">TEXT(Calendário!$D$2+56,"DD/MM")&amp;" a "&amp;TEXT(Calendário!$D$2+83,"DD/MM")</f>
        <v>14/12 a 10/01</v>
      </c>
      <c r="C7" s="7" t="s">
        <v>58</v>
      </c>
      <c r="D7" s="7" t="s">
        <v>59</v>
      </c>
      <c r="E7" s="7" t="s">
        <v>60</v>
      </c>
      <c r="F7" s="7" t="s">
        <v>61</v>
      </c>
      <c r="G7" s="7" t="s">
        <v>62</v>
      </c>
      <c r="H7" s="7" t="s">
        <v>63</v>
      </c>
      <c r="I7" s="7" t="n">
        <f aca="false">COUNTIFS(Calendário!$B$5:$B$400,$A7)</f>
        <v>16</v>
      </c>
      <c r="J7" s="7" t="n">
        <f aca="false">COUNTIFS(Calendário!$B$5:$B$400,$A7,Calendário!$E$5:$E$400,"Institucional")</f>
        <v>5</v>
      </c>
      <c r="K7" s="7" t="n">
        <f aca="false">COUNTIFS(Calendário!$B$5:$B$400,$A7,Calendário!$E$5:$E$400,"Produto")</f>
        <v>6</v>
      </c>
      <c r="L7" s="7" t="n">
        <f aca="false">COUNTIFS(Calendário!$B$5:$B$400,$A7,Calendário!$E$5:$E$400,"Projetos, eventos e entregas")</f>
        <v>5</v>
      </c>
      <c r="M7" s="7" t="n">
        <f aca="false">COUNTIFS(Calendário!$B$5:$B$400,$A7,Calendário!$L$5:$L$400,"Vídeo")</f>
        <v>8</v>
      </c>
      <c r="N7" s="7" t="n">
        <f aca="false">I7-M7</f>
        <v>8</v>
      </c>
      <c r="O7" s="7" t="n">
        <f aca="false">SUMPRODUCT((Calendário!$B$5:$B$400=$A7)*ISNUMBER(SEARCH("responsável médica",Calendário!$P$5:$P$400)))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4" min="4" style="0" width="4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8" t="s">
        <v>64</v>
      </c>
    </row>
    <row r="2" customFormat="false" ht="15" hidden="false" customHeight="false" outlineLevel="0" collapsed="false">
      <c r="A2" s="6" t="s">
        <v>65</v>
      </c>
      <c r="B2" s="6" t="s">
        <v>66</v>
      </c>
      <c r="C2" s="6" t="s">
        <v>67</v>
      </c>
      <c r="D2" s="6" t="s">
        <v>68</v>
      </c>
      <c r="E2" s="6" t="s">
        <v>69</v>
      </c>
    </row>
    <row r="3" customFormat="false" ht="46.25" hidden="false" customHeight="false" outlineLevel="0" collapsed="false">
      <c r="A3" s="7" t="s">
        <v>31</v>
      </c>
      <c r="B3" s="7" t="s">
        <v>70</v>
      </c>
      <c r="C3" s="7" t="s">
        <v>71</v>
      </c>
      <c r="D3" s="7" t="s">
        <v>72</v>
      </c>
      <c r="E3" s="7" t="s">
        <v>73</v>
      </c>
    </row>
    <row r="4" customFormat="false" ht="57.45" hidden="false" customHeight="false" outlineLevel="0" collapsed="false">
      <c r="A4" s="7" t="s">
        <v>32</v>
      </c>
      <c r="B4" s="7" t="s">
        <v>74</v>
      </c>
      <c r="C4" s="7" t="s">
        <v>75</v>
      </c>
      <c r="D4" s="7" t="s">
        <v>76</v>
      </c>
      <c r="E4" s="7" t="s">
        <v>77</v>
      </c>
    </row>
    <row r="5" customFormat="false" ht="35.05" hidden="false" customHeight="false" outlineLevel="0" collapsed="false">
      <c r="A5" s="7" t="s">
        <v>33</v>
      </c>
      <c r="B5" s="7" t="s">
        <v>78</v>
      </c>
      <c r="C5" s="7" t="s">
        <v>79</v>
      </c>
      <c r="D5" s="7" t="s">
        <v>80</v>
      </c>
      <c r="E5" s="7" t="s">
        <v>81</v>
      </c>
    </row>
    <row r="7" customFormat="false" ht="15" hidden="false" customHeight="false" outlineLevel="0" collapsed="false">
      <c r="A7" s="8" t="s">
        <v>82</v>
      </c>
    </row>
    <row r="8" customFormat="false" ht="15" hidden="false" customHeight="false" outlineLevel="0" collapsed="false">
      <c r="A8" s="6" t="s">
        <v>83</v>
      </c>
      <c r="B8" s="6" t="s">
        <v>84</v>
      </c>
      <c r="C8" s="6" t="s">
        <v>85</v>
      </c>
      <c r="D8" s="6" t="s">
        <v>86</v>
      </c>
      <c r="E8" s="6" t="s">
        <v>87</v>
      </c>
    </row>
    <row r="9" customFormat="false" ht="35.05" hidden="false" customHeight="false" outlineLevel="0" collapsed="false">
      <c r="A9" s="7" t="s">
        <v>88</v>
      </c>
      <c r="B9" s="7" t="s">
        <v>89</v>
      </c>
      <c r="C9" s="7" t="s">
        <v>90</v>
      </c>
      <c r="D9" s="7" t="s">
        <v>91</v>
      </c>
      <c r="E9" s="7" t="s">
        <v>92</v>
      </c>
    </row>
    <row r="10" customFormat="false" ht="23.85" hidden="false" customHeight="false" outlineLevel="0" collapsed="false">
      <c r="A10" s="7" t="s">
        <v>93</v>
      </c>
      <c r="B10" s="7" t="s">
        <v>94</v>
      </c>
      <c r="C10" s="7" t="s">
        <v>95</v>
      </c>
      <c r="D10" s="7" t="s">
        <v>96</v>
      </c>
      <c r="E10" s="7" t="s">
        <v>97</v>
      </c>
    </row>
    <row r="11" customFormat="false" ht="23.85" hidden="false" customHeight="false" outlineLevel="0" collapsed="false">
      <c r="A11" s="7" t="s">
        <v>98</v>
      </c>
      <c r="B11" s="7" t="s">
        <v>99</v>
      </c>
      <c r="C11" s="7" t="s">
        <v>100</v>
      </c>
      <c r="D11" s="7" t="s">
        <v>101</v>
      </c>
      <c r="E11" s="7" t="s">
        <v>102</v>
      </c>
    </row>
    <row r="12" customFormat="false" ht="23.85" hidden="false" customHeight="false" outlineLevel="0" collapsed="false">
      <c r="A12" s="7" t="s">
        <v>103</v>
      </c>
      <c r="B12" s="7" t="s">
        <v>104</v>
      </c>
      <c r="C12" s="7" t="s">
        <v>105</v>
      </c>
      <c r="D12" s="7" t="s">
        <v>106</v>
      </c>
      <c r="E12" s="7" t="s">
        <v>107</v>
      </c>
    </row>
    <row r="14" customFormat="false" ht="15" hidden="false" customHeight="false" outlineLevel="0" collapsed="false">
      <c r="A14" s="8" t="s">
        <v>108</v>
      </c>
    </row>
    <row r="15" customFormat="false" ht="15" hidden="false" customHeight="false" outlineLevel="0" collapsed="false">
      <c r="A15" s="6" t="s">
        <v>109</v>
      </c>
      <c r="B15" s="6" t="s">
        <v>110</v>
      </c>
      <c r="C15" s="6" t="s">
        <v>111</v>
      </c>
      <c r="D15" s="6" t="s">
        <v>112</v>
      </c>
      <c r="E15" s="6" t="s">
        <v>113</v>
      </c>
    </row>
    <row r="16" customFormat="false" ht="35.05" hidden="false" customHeight="false" outlineLevel="0" collapsed="false">
      <c r="A16" s="7" t="s">
        <v>114</v>
      </c>
      <c r="B16" s="7" t="s">
        <v>115</v>
      </c>
      <c r="C16" s="7" t="s">
        <v>116</v>
      </c>
      <c r="D16" s="7" t="s">
        <v>117</v>
      </c>
      <c r="E16" s="7" t="s">
        <v>118</v>
      </c>
    </row>
    <row r="17" customFormat="false" ht="23.85" hidden="false" customHeight="false" outlineLevel="0" collapsed="false">
      <c r="A17" s="7" t="s">
        <v>119</v>
      </c>
      <c r="B17" s="7" t="s">
        <v>120</v>
      </c>
      <c r="C17" s="7" t="s">
        <v>121</v>
      </c>
      <c r="D17" s="7" t="s">
        <v>122</v>
      </c>
      <c r="E17" s="7" t="s">
        <v>123</v>
      </c>
    </row>
    <row r="18" customFormat="false" ht="23.85" hidden="false" customHeight="false" outlineLevel="0" collapsed="false">
      <c r="A18" s="7" t="s">
        <v>124</v>
      </c>
      <c r="B18" s="7" t="s">
        <v>125</v>
      </c>
      <c r="C18" s="7" t="s">
        <v>126</v>
      </c>
      <c r="D18" s="7" t="s">
        <v>127</v>
      </c>
      <c r="E18" s="7" t="s">
        <v>128</v>
      </c>
    </row>
    <row r="19" customFormat="false" ht="23.85" hidden="false" customHeight="false" outlineLevel="0" collapsed="false">
      <c r="A19" s="7" t="s">
        <v>129</v>
      </c>
      <c r="B19" s="7" t="s">
        <v>130</v>
      </c>
      <c r="C19" s="7" t="s">
        <v>131</v>
      </c>
      <c r="D19" s="7" t="s">
        <v>132</v>
      </c>
      <c r="E19" s="7" t="s">
        <v>133</v>
      </c>
    </row>
    <row r="20" customFormat="false" ht="23.85" hidden="false" customHeight="false" outlineLevel="0" collapsed="false">
      <c r="A20" s="7" t="s">
        <v>134</v>
      </c>
      <c r="B20" s="7" t="s">
        <v>135</v>
      </c>
      <c r="C20" s="7" t="s">
        <v>136</v>
      </c>
      <c r="D20" s="7" t="s">
        <v>137</v>
      </c>
      <c r="E20" s="7" t="s">
        <v>138</v>
      </c>
    </row>
    <row r="21" customFormat="false" ht="23.85" hidden="false" customHeight="false" outlineLevel="0" collapsed="false">
      <c r="A21" s="7" t="s">
        <v>139</v>
      </c>
      <c r="B21" s="7" t="s">
        <v>140</v>
      </c>
      <c r="C21" s="7" t="s">
        <v>141</v>
      </c>
      <c r="D21" s="7" t="s">
        <v>142</v>
      </c>
      <c r="E21" s="7" t="s">
        <v>143</v>
      </c>
    </row>
    <row r="22" customFormat="false" ht="15" hidden="false" customHeight="false" outlineLevel="0" collapsed="false">
      <c r="A22" s="7" t="s">
        <v>144</v>
      </c>
      <c r="B22" s="7" t="s">
        <v>145</v>
      </c>
      <c r="C22" s="7" t="s">
        <v>146</v>
      </c>
      <c r="D22" s="7" t="s">
        <v>147</v>
      </c>
      <c r="E22" s="7" t="s">
        <v>148</v>
      </c>
    </row>
    <row r="23" customFormat="false" ht="23.85" hidden="false" customHeight="false" outlineLevel="0" collapsed="false">
      <c r="A23" s="7" t="s">
        <v>149</v>
      </c>
      <c r="B23" s="7" t="s">
        <v>150</v>
      </c>
      <c r="C23" s="7" t="s">
        <v>151</v>
      </c>
      <c r="D23" s="7" t="s">
        <v>152</v>
      </c>
      <c r="E23" s="7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8" t="s">
        <v>154</v>
      </c>
    </row>
    <row r="2" customFormat="false" ht="15" hidden="false" customHeight="false" outlineLevel="0" collapsed="false">
      <c r="A2" s="6" t="s">
        <v>155</v>
      </c>
      <c r="B2" s="6" t="s">
        <v>156</v>
      </c>
      <c r="C2" s="6" t="s">
        <v>157</v>
      </c>
      <c r="D2" s="6" t="s">
        <v>158</v>
      </c>
      <c r="E2" s="6" t="s">
        <v>159</v>
      </c>
    </row>
    <row r="3" customFormat="false" ht="23.85" hidden="false" customHeight="false" outlineLevel="0" collapsed="false">
      <c r="A3" s="7" t="s">
        <v>160</v>
      </c>
      <c r="B3" s="7" t="s">
        <v>161</v>
      </c>
      <c r="C3" s="7" t="s">
        <v>162</v>
      </c>
      <c r="D3" s="7" t="s">
        <v>43</v>
      </c>
      <c r="E3" s="7" t="s">
        <v>163</v>
      </c>
    </row>
    <row r="4" customFormat="false" ht="23.85" hidden="false" customHeight="false" outlineLevel="0" collapsed="false">
      <c r="A4" s="7" t="s">
        <v>164</v>
      </c>
      <c r="B4" s="7" t="s">
        <v>165</v>
      </c>
      <c r="C4" s="7" t="s">
        <v>166</v>
      </c>
      <c r="D4" s="7" t="s">
        <v>133</v>
      </c>
      <c r="E4" s="7" t="s">
        <v>167</v>
      </c>
    </row>
    <row r="5" customFormat="false" ht="35.05" hidden="false" customHeight="false" outlineLevel="0" collapsed="false">
      <c r="A5" s="7" t="s">
        <v>168</v>
      </c>
      <c r="B5" s="7" t="s">
        <v>169</v>
      </c>
      <c r="C5" s="7" t="s">
        <v>170</v>
      </c>
      <c r="D5" s="7" t="s">
        <v>171</v>
      </c>
      <c r="E5" s="7" t="s">
        <v>172</v>
      </c>
    </row>
    <row r="6" customFormat="false" ht="23.85" hidden="false" customHeight="false" outlineLevel="0" collapsed="false">
      <c r="A6" s="7" t="s">
        <v>173</v>
      </c>
      <c r="B6" s="7" t="s">
        <v>174</v>
      </c>
      <c r="C6" s="7" t="s">
        <v>175</v>
      </c>
      <c r="D6" s="7" t="s">
        <v>123</v>
      </c>
      <c r="E6" s="7" t="s">
        <v>176</v>
      </c>
    </row>
    <row r="7" customFormat="false" ht="15" hidden="false" customHeight="false" outlineLevel="0" collapsed="false">
      <c r="A7" s="7" t="s">
        <v>177</v>
      </c>
      <c r="B7" s="7" t="s">
        <v>178</v>
      </c>
      <c r="C7" s="7" t="s">
        <v>179</v>
      </c>
      <c r="D7" s="7" t="s">
        <v>180</v>
      </c>
      <c r="E7" s="7" t="s">
        <v>181</v>
      </c>
    </row>
    <row r="8" customFormat="false" ht="23.85" hidden="false" customHeight="false" outlineLevel="0" collapsed="false">
      <c r="A8" s="7" t="s">
        <v>182</v>
      </c>
      <c r="B8" s="7" t="s">
        <v>183</v>
      </c>
      <c r="C8" s="7" t="s">
        <v>184</v>
      </c>
      <c r="D8" s="7" t="s">
        <v>133</v>
      </c>
      <c r="E8" s="7" t="s">
        <v>147</v>
      </c>
    </row>
    <row r="9" customFormat="false" ht="15" hidden="false" customHeight="false" outlineLevel="0" collapsed="false">
      <c r="A9" s="7" t="s">
        <v>185</v>
      </c>
      <c r="B9" s="7" t="s">
        <v>186</v>
      </c>
      <c r="C9" s="7" t="s">
        <v>187</v>
      </c>
      <c r="D9" s="7" t="s">
        <v>180</v>
      </c>
      <c r="E9" s="7" t="s">
        <v>188</v>
      </c>
    </row>
    <row r="10" customFormat="false" ht="23.85" hidden="false" customHeight="false" outlineLevel="0" collapsed="false">
      <c r="A10" s="7" t="s">
        <v>189</v>
      </c>
      <c r="B10" s="7" t="s">
        <v>190</v>
      </c>
      <c r="C10" s="7" t="s">
        <v>191</v>
      </c>
      <c r="D10" s="7" t="s">
        <v>192</v>
      </c>
      <c r="E10" s="7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8" t="s">
        <v>194</v>
      </c>
    </row>
    <row r="2" customFormat="false" ht="15" hidden="false" customHeight="false" outlineLevel="0" collapsed="false">
      <c r="A2" s="6" t="s">
        <v>195</v>
      </c>
      <c r="B2" s="6" t="s">
        <v>196</v>
      </c>
      <c r="C2" s="6" t="s">
        <v>197</v>
      </c>
      <c r="D2" s="6" t="s">
        <v>198</v>
      </c>
      <c r="E2" s="6" t="s">
        <v>199</v>
      </c>
    </row>
    <row r="3" customFormat="false" ht="15" hidden="false" customHeight="false" outlineLevel="0" collapsed="false">
      <c r="A3" s="7" t="n">
        <v>1</v>
      </c>
      <c r="B3" s="7" t="s">
        <v>200</v>
      </c>
      <c r="C3" s="7" t="s">
        <v>201</v>
      </c>
      <c r="D3" s="7" t="s">
        <v>202</v>
      </c>
      <c r="E3" s="7" t="s">
        <v>203</v>
      </c>
    </row>
    <row r="4" customFormat="false" ht="23.85" hidden="false" customHeight="false" outlineLevel="0" collapsed="false">
      <c r="A4" s="7" t="n">
        <v>2</v>
      </c>
      <c r="B4" s="7" t="s">
        <v>204</v>
      </c>
      <c r="C4" s="7" t="s">
        <v>201</v>
      </c>
      <c r="D4" s="7" t="s">
        <v>205</v>
      </c>
      <c r="E4" s="7" t="s">
        <v>203</v>
      </c>
    </row>
    <row r="5" customFormat="false" ht="23.85" hidden="false" customHeight="false" outlineLevel="0" collapsed="false">
      <c r="A5" s="7" t="n">
        <v>3</v>
      </c>
      <c r="B5" s="7" t="s">
        <v>206</v>
      </c>
      <c r="C5" s="7" t="s">
        <v>201</v>
      </c>
      <c r="D5" s="7" t="s">
        <v>207</v>
      </c>
      <c r="E5" s="7" t="s">
        <v>203</v>
      </c>
    </row>
    <row r="6" customFormat="false" ht="23.85" hidden="false" customHeight="false" outlineLevel="0" collapsed="false">
      <c r="A6" s="7" t="n">
        <v>4</v>
      </c>
      <c r="B6" s="7" t="s">
        <v>208</v>
      </c>
      <c r="C6" s="7" t="s">
        <v>209</v>
      </c>
      <c r="D6" s="7" t="s">
        <v>210</v>
      </c>
      <c r="E6" s="7" t="s">
        <v>203</v>
      </c>
    </row>
    <row r="7" customFormat="false" ht="15" hidden="false" customHeight="false" outlineLevel="0" collapsed="false">
      <c r="A7" s="7" t="n">
        <v>5</v>
      </c>
      <c r="B7" s="7" t="s">
        <v>211</v>
      </c>
      <c r="C7" s="7" t="s">
        <v>209</v>
      </c>
      <c r="D7" s="7" t="s">
        <v>212</v>
      </c>
      <c r="E7" s="7" t="s">
        <v>203</v>
      </c>
    </row>
    <row r="8" customFormat="false" ht="15" hidden="false" customHeight="false" outlineLevel="0" collapsed="false">
      <c r="A8" s="7" t="n">
        <v>6</v>
      </c>
      <c r="B8" s="7" t="s">
        <v>213</v>
      </c>
      <c r="C8" s="7" t="s">
        <v>214</v>
      </c>
      <c r="D8" s="7" t="s">
        <v>215</v>
      </c>
      <c r="E8" s="7" t="s">
        <v>203</v>
      </c>
    </row>
    <row r="9" customFormat="false" ht="23.85" hidden="false" customHeight="false" outlineLevel="0" collapsed="false">
      <c r="A9" s="7" t="n">
        <v>7</v>
      </c>
      <c r="B9" s="7" t="s">
        <v>216</v>
      </c>
      <c r="C9" s="7" t="s">
        <v>217</v>
      </c>
      <c r="D9" s="7" t="s">
        <v>218</v>
      </c>
      <c r="E9" s="7" t="s">
        <v>203</v>
      </c>
    </row>
    <row r="10" customFormat="false" ht="23.85" hidden="false" customHeight="false" outlineLevel="0" collapsed="false">
      <c r="A10" s="7" t="n">
        <v>8</v>
      </c>
      <c r="B10" s="7" t="s">
        <v>219</v>
      </c>
      <c r="C10" s="7" t="s">
        <v>217</v>
      </c>
      <c r="D10" s="7" t="s">
        <v>220</v>
      </c>
      <c r="E10" s="7" t="s">
        <v>203</v>
      </c>
    </row>
    <row r="11" customFormat="false" ht="23.85" hidden="false" customHeight="false" outlineLevel="0" collapsed="false">
      <c r="A11" s="7" t="n">
        <v>9</v>
      </c>
      <c r="B11" s="7" t="s">
        <v>221</v>
      </c>
      <c r="C11" s="7" t="s">
        <v>201</v>
      </c>
      <c r="D11" s="7" t="s">
        <v>222</v>
      </c>
      <c r="E11" s="7" t="s">
        <v>203</v>
      </c>
    </row>
    <row r="12" customFormat="false" ht="23.85" hidden="false" customHeight="false" outlineLevel="0" collapsed="false">
      <c r="A12" s="7" t="n">
        <v>10</v>
      </c>
      <c r="B12" s="7" t="s">
        <v>223</v>
      </c>
      <c r="C12" s="7" t="s">
        <v>201</v>
      </c>
      <c r="D12" s="7" t="s">
        <v>224</v>
      </c>
      <c r="E12" s="7" t="s">
        <v>203</v>
      </c>
    </row>
    <row r="13" customFormat="false" ht="15" hidden="false" customHeight="false" outlineLevel="0" collapsed="false">
      <c r="A13" s="7" t="n">
        <v>11</v>
      </c>
      <c r="B13" s="7" t="s">
        <v>225</v>
      </c>
      <c r="C13" s="7" t="s">
        <v>201</v>
      </c>
      <c r="D13" s="7" t="s">
        <v>226</v>
      </c>
      <c r="E13" s="7" t="s">
        <v>203</v>
      </c>
    </row>
    <row r="14" customFormat="false" ht="15" hidden="false" customHeight="false" outlineLevel="0" collapsed="false">
      <c r="A14" s="7" t="n">
        <v>12</v>
      </c>
      <c r="B14" s="7" t="s">
        <v>227</v>
      </c>
      <c r="C14" s="7" t="s">
        <v>201</v>
      </c>
      <c r="D14" s="7" t="s">
        <v>228</v>
      </c>
      <c r="E14" s="7" t="s">
        <v>203</v>
      </c>
    </row>
    <row r="15" customFormat="false" ht="23.85" hidden="false" customHeight="false" outlineLevel="0" collapsed="false">
      <c r="A15" s="7" t="n">
        <v>13</v>
      </c>
      <c r="B15" s="7" t="s">
        <v>229</v>
      </c>
      <c r="C15" s="7" t="s">
        <v>230</v>
      </c>
      <c r="D15" s="7" t="s">
        <v>231</v>
      </c>
      <c r="E15" s="7" t="s">
        <v>203</v>
      </c>
    </row>
    <row r="16" customFormat="false" ht="23.85" hidden="false" customHeight="false" outlineLevel="0" collapsed="false">
      <c r="A16" s="7" t="n">
        <v>14</v>
      </c>
      <c r="B16" s="7" t="s">
        <v>232</v>
      </c>
      <c r="C16" s="7" t="s">
        <v>233</v>
      </c>
      <c r="D16" s="7" t="s">
        <v>231</v>
      </c>
      <c r="E16" s="7" t="s">
        <v>203</v>
      </c>
    </row>
    <row r="17" customFormat="false" ht="23.85" hidden="false" customHeight="false" outlineLevel="0" collapsed="false">
      <c r="A17" s="7" t="n">
        <v>15</v>
      </c>
      <c r="B17" s="7" t="s">
        <v>234</v>
      </c>
      <c r="C17" s="7" t="s">
        <v>233</v>
      </c>
      <c r="D17" s="7" t="s">
        <v>235</v>
      </c>
      <c r="E17" s="7" t="s">
        <v>203</v>
      </c>
    </row>
    <row r="18" customFormat="false" ht="15" hidden="false" customHeight="false" outlineLevel="0" collapsed="false">
      <c r="A18" s="7" t="n">
        <v>16</v>
      </c>
      <c r="B18" s="7" t="s">
        <v>236</v>
      </c>
      <c r="C18" s="7" t="s">
        <v>209</v>
      </c>
      <c r="D18" s="7" t="s">
        <v>237</v>
      </c>
      <c r="E18" s="7" t="s">
        <v>203</v>
      </c>
    </row>
    <row r="19" customFormat="false" ht="15" hidden="false" customHeight="false" outlineLevel="0" collapsed="false">
      <c r="A19" s="7" t="n">
        <v>17</v>
      </c>
      <c r="B19" s="7" t="s">
        <v>238</v>
      </c>
      <c r="C19" s="7" t="s">
        <v>201</v>
      </c>
      <c r="D19" s="7" t="s">
        <v>239</v>
      </c>
      <c r="E19" s="7" t="s">
        <v>203</v>
      </c>
    </row>
    <row r="20" customFormat="false" ht="15" hidden="false" customHeight="false" outlineLevel="0" collapsed="false">
      <c r="A20" s="7" t="n">
        <v>18</v>
      </c>
      <c r="B20" s="7" t="s">
        <v>240</v>
      </c>
      <c r="C20" s="7" t="s">
        <v>241</v>
      </c>
      <c r="D20" s="7" t="s">
        <v>242</v>
      </c>
      <c r="E20" s="7" t="s">
        <v>203</v>
      </c>
    </row>
    <row r="21" customFormat="false" ht="15" hidden="false" customHeight="false" outlineLevel="0" collapsed="false">
      <c r="A21" s="7" t="n">
        <v>19</v>
      </c>
      <c r="B21" s="7" t="s">
        <v>243</v>
      </c>
      <c r="C21" s="7" t="s">
        <v>201</v>
      </c>
      <c r="D21" s="7" t="s">
        <v>244</v>
      </c>
      <c r="E21" s="7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36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30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24"/>
    <col collapsed="false" customWidth="true" hidden="false" outlineLevel="0" max="15" min="15" style="0" width="44"/>
    <col collapsed="false" customWidth="true" hidden="false" outlineLevel="0" max="16" min="16" style="0" width="40"/>
    <col collapsed="false" customWidth="true" hidden="false" outlineLevel="0" max="17" min="17" style="0" width="16"/>
    <col collapsed="false" customWidth="true" hidden="false" outlineLevel="0" max="19" min="18" style="0" width="50"/>
    <col collapsed="false" customWidth="true" hidden="false" outlineLevel="0" max="20" min="20" style="0" width="40"/>
    <col collapsed="false" customWidth="true" hidden="false" outlineLevel="0" max="21" min="21" style="0" width="14"/>
    <col collapsed="false" customWidth="true" hidden="false" outlineLevel="0" max="22" min="22" style="0" width="30"/>
  </cols>
  <sheetData>
    <row r="1" customFormat="false" ht="17.35" hidden="false" customHeight="false" outlineLevel="0" collapsed="false">
      <c r="A1" s="4" t="s">
        <v>245</v>
      </c>
    </row>
    <row r="2" customFormat="false" ht="15" hidden="false" customHeight="false" outlineLevel="0" collapsed="false">
      <c r="A2" s="9" t="s">
        <v>246</v>
      </c>
      <c r="B2" s="9"/>
      <c r="C2" s="9"/>
      <c r="D2" s="10" t="n">
        <v>46314</v>
      </c>
      <c r="E2" s="5" t="s">
        <v>247</v>
      </c>
    </row>
    <row r="4" customFormat="false" ht="30" hidden="false" customHeight="true" outlineLevel="0" collapsed="false">
      <c r="A4" s="6" t="s">
        <v>248</v>
      </c>
      <c r="B4" s="6" t="s">
        <v>28</v>
      </c>
      <c r="C4" s="6" t="s">
        <v>249</v>
      </c>
      <c r="D4" s="6" t="s">
        <v>250</v>
      </c>
      <c r="E4" s="6" t="s">
        <v>251</v>
      </c>
      <c r="F4" s="6" t="s">
        <v>252</v>
      </c>
      <c r="G4" s="6" t="s">
        <v>253</v>
      </c>
      <c r="H4" s="6" t="s">
        <v>254</v>
      </c>
      <c r="I4" s="6" t="s">
        <v>83</v>
      </c>
      <c r="J4" s="6" t="s">
        <v>255</v>
      </c>
      <c r="K4" s="6" t="s">
        <v>256</v>
      </c>
      <c r="L4" s="6" t="s">
        <v>257</v>
      </c>
      <c r="M4" s="6" t="s">
        <v>258</v>
      </c>
      <c r="N4" s="6" t="s">
        <v>259</v>
      </c>
      <c r="O4" s="6" t="s">
        <v>260</v>
      </c>
      <c r="P4" s="6" t="s">
        <v>261</v>
      </c>
      <c r="Q4" s="6" t="s">
        <v>262</v>
      </c>
      <c r="R4" s="6" t="s">
        <v>263</v>
      </c>
      <c r="S4" s="6" t="s">
        <v>264</v>
      </c>
      <c r="T4" s="6" t="s">
        <v>265</v>
      </c>
      <c r="U4" s="6" t="s">
        <v>266</v>
      </c>
      <c r="V4" s="6" t="s">
        <v>267</v>
      </c>
    </row>
    <row r="5" customFormat="false" ht="147" hidden="false" customHeight="false" outlineLevel="0" collapsed="false">
      <c r="A5" s="7" t="s">
        <v>268</v>
      </c>
      <c r="B5" s="7" t="s">
        <v>43</v>
      </c>
      <c r="C5" s="7" t="n">
        <v>1</v>
      </c>
      <c r="D5" s="11" t="n">
        <f aca="false">$D$2+(C5-1)*7+0</f>
        <v>46314</v>
      </c>
      <c r="E5" s="7" t="s">
        <v>31</v>
      </c>
      <c r="F5" s="7" t="s">
        <v>269</v>
      </c>
      <c r="G5" s="7"/>
      <c r="H5" s="7" t="s">
        <v>270</v>
      </c>
      <c r="I5" s="7" t="s">
        <v>271</v>
      </c>
      <c r="J5" s="7" t="s">
        <v>272</v>
      </c>
      <c r="K5" s="7" t="s">
        <v>273</v>
      </c>
      <c r="L5" s="7" t="s">
        <v>274</v>
      </c>
      <c r="M5" s="7" t="s">
        <v>275</v>
      </c>
      <c r="N5" s="7" t="s">
        <v>276</v>
      </c>
      <c r="O5" s="7" t="s">
        <v>277</v>
      </c>
      <c r="P5" s="7" t="s">
        <v>278</v>
      </c>
      <c r="Q5" s="7" t="s">
        <v>279</v>
      </c>
      <c r="R5" s="7" t="s">
        <v>280</v>
      </c>
      <c r="S5" s="7" t="s">
        <v>281</v>
      </c>
      <c r="T5" s="7" t="s">
        <v>282</v>
      </c>
      <c r="U5" s="7"/>
      <c r="V5" s="7"/>
    </row>
    <row r="6" customFormat="false" ht="202.95" hidden="false" customHeight="false" outlineLevel="0" collapsed="false">
      <c r="A6" s="7" t="s">
        <v>283</v>
      </c>
      <c r="B6" s="7" t="s">
        <v>43</v>
      </c>
      <c r="C6" s="7" t="n">
        <v>1</v>
      </c>
      <c r="D6" s="11" t="n">
        <f aca="false">$D$2+(C6-1)*7+1</f>
        <v>46315</v>
      </c>
      <c r="E6" s="7" t="s">
        <v>32</v>
      </c>
      <c r="F6" s="7" t="s">
        <v>284</v>
      </c>
      <c r="G6" s="7" t="s">
        <v>285</v>
      </c>
      <c r="H6" s="7" t="s">
        <v>286</v>
      </c>
      <c r="I6" s="7" t="s">
        <v>93</v>
      </c>
      <c r="J6" s="7" t="s">
        <v>287</v>
      </c>
      <c r="K6" s="7" t="s">
        <v>288</v>
      </c>
      <c r="L6" s="7" t="s">
        <v>289</v>
      </c>
      <c r="M6" s="7" t="s">
        <v>275</v>
      </c>
      <c r="N6" s="7" t="s">
        <v>276</v>
      </c>
      <c r="O6" s="7" t="s">
        <v>290</v>
      </c>
      <c r="P6" s="7" t="s">
        <v>291</v>
      </c>
      <c r="Q6" s="7" t="s">
        <v>292</v>
      </c>
      <c r="R6" s="7" t="s">
        <v>293</v>
      </c>
      <c r="S6" s="7" t="s">
        <v>294</v>
      </c>
      <c r="T6" s="7" t="s">
        <v>295</v>
      </c>
      <c r="U6" s="7"/>
      <c r="V6" s="7"/>
    </row>
    <row r="7" customFormat="false" ht="113.4" hidden="false" customHeight="false" outlineLevel="0" collapsed="false">
      <c r="A7" s="7" t="s">
        <v>296</v>
      </c>
      <c r="B7" s="7" t="s">
        <v>43</v>
      </c>
      <c r="C7" s="7" t="n">
        <v>1</v>
      </c>
      <c r="D7" s="11" t="n">
        <f aca="false">$D$2+(C7-1)*7+3</f>
        <v>46317</v>
      </c>
      <c r="E7" s="7" t="s">
        <v>33</v>
      </c>
      <c r="F7" s="7" t="s">
        <v>297</v>
      </c>
      <c r="G7" s="7"/>
      <c r="H7" s="7" t="s">
        <v>298</v>
      </c>
      <c r="I7" s="7" t="s">
        <v>299</v>
      </c>
      <c r="J7" s="7" t="s">
        <v>300</v>
      </c>
      <c r="K7" s="7" t="s">
        <v>301</v>
      </c>
      <c r="L7" s="7" t="s">
        <v>274</v>
      </c>
      <c r="M7" s="7" t="s">
        <v>275</v>
      </c>
      <c r="N7" s="7" t="s">
        <v>302</v>
      </c>
      <c r="O7" s="7" t="s">
        <v>303</v>
      </c>
      <c r="P7" s="7" t="s">
        <v>304</v>
      </c>
      <c r="Q7" s="7" t="s">
        <v>305</v>
      </c>
      <c r="R7" s="7" t="s">
        <v>306</v>
      </c>
      <c r="S7" s="7" t="s">
        <v>307</v>
      </c>
      <c r="T7" s="7" t="s">
        <v>308</v>
      </c>
      <c r="U7" s="7"/>
      <c r="V7" s="7"/>
    </row>
    <row r="8" customFormat="false" ht="147" hidden="false" customHeight="false" outlineLevel="0" collapsed="false">
      <c r="A8" s="7" t="s">
        <v>309</v>
      </c>
      <c r="B8" s="7" t="s">
        <v>43</v>
      </c>
      <c r="C8" s="7" t="n">
        <v>1</v>
      </c>
      <c r="D8" s="11" t="n">
        <f aca="false">$D$2+(C8-1)*7+4</f>
        <v>46318</v>
      </c>
      <c r="E8" s="7" t="s">
        <v>31</v>
      </c>
      <c r="F8" s="7" t="s">
        <v>310</v>
      </c>
      <c r="G8" s="7" t="s">
        <v>311</v>
      </c>
      <c r="H8" s="7" t="s">
        <v>312</v>
      </c>
      <c r="I8" s="7" t="s">
        <v>271</v>
      </c>
      <c r="J8" s="7" t="s">
        <v>313</v>
      </c>
      <c r="K8" s="7" t="s">
        <v>314</v>
      </c>
      <c r="L8" s="7" t="s">
        <v>289</v>
      </c>
      <c r="M8" s="7" t="s">
        <v>275</v>
      </c>
      <c r="N8" s="7" t="s">
        <v>315</v>
      </c>
      <c r="O8" s="7" t="s">
        <v>316</v>
      </c>
      <c r="P8" s="7" t="s">
        <v>317</v>
      </c>
      <c r="Q8" s="7" t="s">
        <v>305</v>
      </c>
      <c r="R8" s="7" t="s">
        <v>318</v>
      </c>
      <c r="S8" s="7" t="s">
        <v>319</v>
      </c>
      <c r="T8" s="7" t="s">
        <v>320</v>
      </c>
      <c r="U8" s="7"/>
      <c r="V8" s="7"/>
    </row>
    <row r="9" customFormat="false" ht="23.85" hidden="false" customHeight="false" outlineLevel="0" collapsed="false">
      <c r="A9" s="7" t="s">
        <v>321</v>
      </c>
      <c r="B9" s="7" t="s">
        <v>43</v>
      </c>
      <c r="C9" s="7" t="n">
        <v>2</v>
      </c>
      <c r="D9" s="11" t="n">
        <f aca="false">$D$2+(C9-1)*7+0</f>
        <v>46321</v>
      </c>
      <c r="E9" s="7" t="s">
        <v>32</v>
      </c>
      <c r="F9" s="7" t="s">
        <v>322</v>
      </c>
      <c r="G9" s="7" t="s">
        <v>323</v>
      </c>
      <c r="H9" s="7" t="s">
        <v>324</v>
      </c>
      <c r="I9" s="7" t="s">
        <v>271</v>
      </c>
      <c r="J9" s="7" t="s">
        <v>325</v>
      </c>
      <c r="K9" s="7" t="s">
        <v>326</v>
      </c>
      <c r="L9" s="7" t="s">
        <v>274</v>
      </c>
      <c r="M9" s="7" t="s">
        <v>275</v>
      </c>
      <c r="N9" s="7" t="s">
        <v>276</v>
      </c>
      <c r="O9" s="7" t="s">
        <v>327</v>
      </c>
      <c r="P9" s="7" t="s">
        <v>328</v>
      </c>
      <c r="Q9" s="7" t="s">
        <v>329</v>
      </c>
      <c r="R9" s="7"/>
      <c r="S9" s="7"/>
      <c r="T9" s="7" t="s">
        <v>330</v>
      </c>
      <c r="U9" s="7"/>
      <c r="V9" s="7"/>
    </row>
    <row r="10" customFormat="false" ht="23.85" hidden="false" customHeight="false" outlineLevel="0" collapsed="false">
      <c r="A10" s="7" t="s">
        <v>331</v>
      </c>
      <c r="B10" s="7" t="s">
        <v>43</v>
      </c>
      <c r="C10" s="7" t="n">
        <v>2</v>
      </c>
      <c r="D10" s="11" t="n">
        <f aca="false">$D$2+(C10-1)*7+1</f>
        <v>46322</v>
      </c>
      <c r="E10" s="7" t="s">
        <v>33</v>
      </c>
      <c r="F10" s="7" t="s">
        <v>332</v>
      </c>
      <c r="G10" s="7"/>
      <c r="H10" s="7" t="s">
        <v>333</v>
      </c>
      <c r="I10" s="7" t="s">
        <v>299</v>
      </c>
      <c r="J10" s="7" t="s">
        <v>334</v>
      </c>
      <c r="K10" s="7" t="s">
        <v>335</v>
      </c>
      <c r="L10" s="7" t="s">
        <v>289</v>
      </c>
      <c r="M10" s="7" t="s">
        <v>275</v>
      </c>
      <c r="N10" s="7" t="s">
        <v>276</v>
      </c>
      <c r="O10" s="7" t="s">
        <v>336</v>
      </c>
      <c r="P10" s="7" t="s">
        <v>337</v>
      </c>
      <c r="Q10" s="7" t="s">
        <v>305</v>
      </c>
      <c r="R10" s="7"/>
      <c r="S10" s="7"/>
      <c r="T10" s="7" t="s">
        <v>338</v>
      </c>
      <c r="U10" s="7"/>
      <c r="V10" s="7"/>
    </row>
    <row r="11" customFormat="false" ht="35.05" hidden="false" customHeight="false" outlineLevel="0" collapsed="false">
      <c r="A11" s="7" t="s">
        <v>339</v>
      </c>
      <c r="B11" s="7" t="s">
        <v>43</v>
      </c>
      <c r="C11" s="7" t="n">
        <v>2</v>
      </c>
      <c r="D11" s="11" t="n">
        <f aca="false">$D$2+(C11-1)*7+3</f>
        <v>46324</v>
      </c>
      <c r="E11" s="7" t="s">
        <v>31</v>
      </c>
      <c r="F11" s="7" t="s">
        <v>310</v>
      </c>
      <c r="G11" s="7" t="s">
        <v>340</v>
      </c>
      <c r="H11" s="7" t="s">
        <v>341</v>
      </c>
      <c r="I11" s="7" t="s">
        <v>271</v>
      </c>
      <c r="J11" s="7" t="s">
        <v>313</v>
      </c>
      <c r="K11" s="7" t="s">
        <v>314</v>
      </c>
      <c r="L11" s="7" t="s">
        <v>274</v>
      </c>
      <c r="M11" s="7" t="s">
        <v>275</v>
      </c>
      <c r="N11" s="7" t="s">
        <v>342</v>
      </c>
      <c r="O11" s="7" t="s">
        <v>343</v>
      </c>
      <c r="P11" s="7" t="s">
        <v>344</v>
      </c>
      <c r="Q11" s="7" t="s">
        <v>305</v>
      </c>
      <c r="R11" s="7"/>
      <c r="S11" s="7"/>
      <c r="T11" s="7" t="s">
        <v>345</v>
      </c>
      <c r="U11" s="7"/>
      <c r="V11" s="7"/>
    </row>
    <row r="12" customFormat="false" ht="35.05" hidden="false" customHeight="false" outlineLevel="0" collapsed="false">
      <c r="A12" s="7" t="s">
        <v>346</v>
      </c>
      <c r="B12" s="7" t="s">
        <v>43</v>
      </c>
      <c r="C12" s="7" t="n">
        <v>2</v>
      </c>
      <c r="D12" s="11" t="n">
        <f aca="false">$D$2+(C12-1)*7+4</f>
        <v>46325</v>
      </c>
      <c r="E12" s="7" t="s">
        <v>32</v>
      </c>
      <c r="F12" s="7" t="s">
        <v>347</v>
      </c>
      <c r="G12" s="7" t="s">
        <v>348</v>
      </c>
      <c r="H12" s="7" t="s">
        <v>349</v>
      </c>
      <c r="I12" s="7" t="s">
        <v>93</v>
      </c>
      <c r="J12" s="7" t="s">
        <v>350</v>
      </c>
      <c r="K12" s="7" t="s">
        <v>351</v>
      </c>
      <c r="L12" s="7" t="s">
        <v>289</v>
      </c>
      <c r="M12" s="7" t="s">
        <v>275</v>
      </c>
      <c r="N12" s="7" t="s">
        <v>276</v>
      </c>
      <c r="O12" s="7" t="s">
        <v>352</v>
      </c>
      <c r="P12" s="7" t="s">
        <v>353</v>
      </c>
      <c r="Q12" s="7" t="s">
        <v>329</v>
      </c>
      <c r="R12" s="7"/>
      <c r="S12" s="7"/>
      <c r="T12" s="7" t="s">
        <v>354</v>
      </c>
      <c r="U12" s="7"/>
      <c r="V12" s="7"/>
    </row>
    <row r="13" customFormat="false" ht="23.85" hidden="false" customHeight="false" outlineLevel="0" collapsed="false">
      <c r="A13" s="7" t="s">
        <v>355</v>
      </c>
      <c r="B13" s="7" t="s">
        <v>43</v>
      </c>
      <c r="C13" s="7" t="n">
        <v>3</v>
      </c>
      <c r="D13" s="11" t="n">
        <f aca="false">$D$2+(C13-1)*7+1</f>
        <v>46329</v>
      </c>
      <c r="E13" s="7" t="s">
        <v>33</v>
      </c>
      <c r="F13" s="7" t="s">
        <v>356</v>
      </c>
      <c r="G13" s="7" t="s">
        <v>177</v>
      </c>
      <c r="H13" s="7" t="s">
        <v>357</v>
      </c>
      <c r="I13" s="7" t="s">
        <v>88</v>
      </c>
      <c r="J13" s="7" t="s">
        <v>358</v>
      </c>
      <c r="K13" s="7" t="s">
        <v>359</v>
      </c>
      <c r="L13" s="7" t="s">
        <v>274</v>
      </c>
      <c r="M13" s="7" t="s">
        <v>275</v>
      </c>
      <c r="N13" s="7" t="s">
        <v>276</v>
      </c>
      <c r="O13" s="7" t="s">
        <v>360</v>
      </c>
      <c r="P13" s="7" t="s">
        <v>361</v>
      </c>
      <c r="Q13" s="7" t="s">
        <v>329</v>
      </c>
      <c r="R13" s="7"/>
      <c r="S13" s="7"/>
      <c r="T13" s="7" t="s">
        <v>362</v>
      </c>
      <c r="U13" s="7"/>
      <c r="V13" s="7"/>
    </row>
    <row r="14" customFormat="false" ht="35.05" hidden="false" customHeight="false" outlineLevel="0" collapsed="false">
      <c r="A14" s="7" t="s">
        <v>244</v>
      </c>
      <c r="B14" s="7" t="s">
        <v>43</v>
      </c>
      <c r="C14" s="7" t="n">
        <v>3</v>
      </c>
      <c r="D14" s="11" t="n">
        <f aca="false">$D$2+(C14-1)*7+2</f>
        <v>46330</v>
      </c>
      <c r="E14" s="7" t="s">
        <v>31</v>
      </c>
      <c r="F14" s="7" t="s">
        <v>363</v>
      </c>
      <c r="G14" s="7"/>
      <c r="H14" s="7" t="s">
        <v>364</v>
      </c>
      <c r="I14" s="7" t="s">
        <v>365</v>
      </c>
      <c r="J14" s="7" t="s">
        <v>366</v>
      </c>
      <c r="K14" s="7" t="s">
        <v>367</v>
      </c>
      <c r="L14" s="7" t="s">
        <v>289</v>
      </c>
      <c r="M14" s="7" t="s">
        <v>275</v>
      </c>
      <c r="N14" s="7" t="s">
        <v>276</v>
      </c>
      <c r="O14" s="7" t="s">
        <v>368</v>
      </c>
      <c r="P14" s="7" t="s">
        <v>369</v>
      </c>
      <c r="Q14" s="7" t="s">
        <v>329</v>
      </c>
      <c r="R14" s="7"/>
      <c r="S14" s="7"/>
      <c r="T14" s="7" t="s">
        <v>370</v>
      </c>
      <c r="U14" s="7"/>
      <c r="V14" s="7"/>
    </row>
    <row r="15" customFormat="false" ht="35.05" hidden="false" customHeight="false" outlineLevel="0" collapsed="false">
      <c r="A15" s="7" t="s">
        <v>371</v>
      </c>
      <c r="B15" s="7" t="s">
        <v>43</v>
      </c>
      <c r="C15" s="7" t="n">
        <v>3</v>
      </c>
      <c r="D15" s="11" t="n">
        <f aca="false">$D$2+(C15-1)*7+3</f>
        <v>46331</v>
      </c>
      <c r="E15" s="7" t="s">
        <v>32</v>
      </c>
      <c r="F15" s="7" t="s">
        <v>372</v>
      </c>
      <c r="G15" s="7" t="s">
        <v>373</v>
      </c>
      <c r="H15" s="7" t="s">
        <v>374</v>
      </c>
      <c r="I15" s="7" t="s">
        <v>93</v>
      </c>
      <c r="J15" s="7" t="s">
        <v>375</v>
      </c>
      <c r="K15" s="7" t="s">
        <v>376</v>
      </c>
      <c r="L15" s="7" t="s">
        <v>274</v>
      </c>
      <c r="M15" s="7" t="s">
        <v>377</v>
      </c>
      <c r="N15" s="7" t="s">
        <v>276</v>
      </c>
      <c r="O15" s="7" t="s">
        <v>378</v>
      </c>
      <c r="P15" s="7" t="s">
        <v>379</v>
      </c>
      <c r="Q15" s="7" t="s">
        <v>329</v>
      </c>
      <c r="R15" s="7"/>
      <c r="S15" s="7"/>
      <c r="T15" s="7" t="s">
        <v>380</v>
      </c>
      <c r="U15" s="7"/>
      <c r="V15" s="7"/>
    </row>
    <row r="16" customFormat="false" ht="35.05" hidden="false" customHeight="false" outlineLevel="0" collapsed="false">
      <c r="A16" s="7" t="s">
        <v>381</v>
      </c>
      <c r="B16" s="7" t="s">
        <v>43</v>
      </c>
      <c r="C16" s="7" t="n">
        <v>3</v>
      </c>
      <c r="D16" s="11" t="n">
        <f aca="false">$D$2+(C16-1)*7+4</f>
        <v>46332</v>
      </c>
      <c r="E16" s="7" t="s">
        <v>33</v>
      </c>
      <c r="F16" s="7" t="s">
        <v>382</v>
      </c>
      <c r="G16" s="7" t="s">
        <v>383</v>
      </c>
      <c r="H16" s="7" t="s">
        <v>384</v>
      </c>
      <c r="I16" s="7" t="s">
        <v>385</v>
      </c>
      <c r="J16" s="7" t="s">
        <v>386</v>
      </c>
      <c r="K16" s="7" t="s">
        <v>387</v>
      </c>
      <c r="L16" s="7" t="s">
        <v>289</v>
      </c>
      <c r="M16" s="7" t="s">
        <v>275</v>
      </c>
      <c r="N16" s="7" t="s">
        <v>276</v>
      </c>
      <c r="O16" s="7" t="s">
        <v>388</v>
      </c>
      <c r="P16" s="7" t="s">
        <v>389</v>
      </c>
      <c r="Q16" s="7" t="s">
        <v>329</v>
      </c>
      <c r="R16" s="7"/>
      <c r="S16" s="7"/>
      <c r="T16" s="7" t="s">
        <v>390</v>
      </c>
      <c r="U16" s="7"/>
      <c r="V16" s="7"/>
    </row>
    <row r="17" customFormat="false" ht="35.05" hidden="false" customHeight="false" outlineLevel="0" collapsed="false">
      <c r="A17" s="7" t="s">
        <v>391</v>
      </c>
      <c r="B17" s="7" t="s">
        <v>43</v>
      </c>
      <c r="C17" s="7" t="n">
        <v>4</v>
      </c>
      <c r="D17" s="11" t="n">
        <f aca="false">$D$2+(C17-1)*7+0</f>
        <v>46335</v>
      </c>
      <c r="E17" s="7" t="s">
        <v>31</v>
      </c>
      <c r="F17" s="7" t="s">
        <v>310</v>
      </c>
      <c r="G17" s="7" t="s">
        <v>392</v>
      </c>
      <c r="H17" s="7" t="s">
        <v>393</v>
      </c>
      <c r="I17" s="7" t="s">
        <v>271</v>
      </c>
      <c r="J17" s="7" t="s">
        <v>313</v>
      </c>
      <c r="K17" s="7" t="s">
        <v>314</v>
      </c>
      <c r="L17" s="7" t="s">
        <v>274</v>
      </c>
      <c r="M17" s="7" t="s">
        <v>275</v>
      </c>
      <c r="N17" s="7" t="s">
        <v>394</v>
      </c>
      <c r="O17" s="7" t="s">
        <v>395</v>
      </c>
      <c r="P17" s="7" t="s">
        <v>344</v>
      </c>
      <c r="Q17" s="7" t="s">
        <v>305</v>
      </c>
      <c r="R17" s="7"/>
      <c r="S17" s="7"/>
      <c r="T17" s="7" t="s">
        <v>345</v>
      </c>
      <c r="U17" s="7"/>
      <c r="V17" s="7"/>
    </row>
    <row r="18" customFormat="false" ht="35.05" hidden="false" customHeight="false" outlineLevel="0" collapsed="false">
      <c r="A18" s="7" t="s">
        <v>396</v>
      </c>
      <c r="B18" s="7" t="s">
        <v>43</v>
      </c>
      <c r="C18" s="7" t="n">
        <v>4</v>
      </c>
      <c r="D18" s="11" t="n">
        <f aca="false">$D$2+(C18-1)*7+1</f>
        <v>46336</v>
      </c>
      <c r="E18" s="7" t="s">
        <v>32</v>
      </c>
      <c r="F18" s="7" t="s">
        <v>397</v>
      </c>
      <c r="G18" s="7" t="s">
        <v>398</v>
      </c>
      <c r="H18" s="7" t="s">
        <v>399</v>
      </c>
      <c r="I18" s="7" t="s">
        <v>271</v>
      </c>
      <c r="J18" s="7" t="s">
        <v>400</v>
      </c>
      <c r="K18" s="7" t="s">
        <v>401</v>
      </c>
      <c r="L18" s="7" t="s">
        <v>289</v>
      </c>
      <c r="M18" s="7" t="s">
        <v>275</v>
      </c>
      <c r="N18" s="7" t="s">
        <v>276</v>
      </c>
      <c r="O18" s="7" t="s">
        <v>402</v>
      </c>
      <c r="P18" s="7" t="s">
        <v>403</v>
      </c>
      <c r="Q18" s="7" t="s">
        <v>292</v>
      </c>
      <c r="R18" s="7"/>
      <c r="S18" s="7"/>
      <c r="T18" s="7" t="s">
        <v>404</v>
      </c>
      <c r="U18" s="7"/>
      <c r="V18" s="7"/>
    </row>
    <row r="19" customFormat="false" ht="23.85" hidden="false" customHeight="false" outlineLevel="0" collapsed="false">
      <c r="A19" s="7" t="s">
        <v>405</v>
      </c>
      <c r="B19" s="7" t="s">
        <v>43</v>
      </c>
      <c r="C19" s="7" t="n">
        <v>4</v>
      </c>
      <c r="D19" s="11" t="n">
        <f aca="false">$D$2+(C19-1)*7+3</f>
        <v>46338</v>
      </c>
      <c r="E19" s="7" t="s">
        <v>33</v>
      </c>
      <c r="F19" s="7" t="s">
        <v>189</v>
      </c>
      <c r="G19" s="7" t="s">
        <v>189</v>
      </c>
      <c r="H19" s="7" t="s">
        <v>406</v>
      </c>
      <c r="I19" s="7" t="s">
        <v>407</v>
      </c>
      <c r="J19" s="7" t="s">
        <v>408</v>
      </c>
      <c r="K19" s="7" t="s">
        <v>409</v>
      </c>
      <c r="L19" s="7" t="s">
        <v>274</v>
      </c>
      <c r="M19" s="7" t="s">
        <v>275</v>
      </c>
      <c r="N19" s="7" t="s">
        <v>410</v>
      </c>
      <c r="O19" s="7" t="s">
        <v>407</v>
      </c>
      <c r="P19" s="7" t="s">
        <v>411</v>
      </c>
      <c r="Q19" s="7" t="s">
        <v>412</v>
      </c>
      <c r="R19" s="7"/>
      <c r="S19" s="7"/>
      <c r="T19" s="7" t="s">
        <v>413</v>
      </c>
      <c r="U19" s="7"/>
      <c r="V19" s="7"/>
    </row>
    <row r="20" customFormat="false" ht="35.05" hidden="false" customHeight="false" outlineLevel="0" collapsed="false">
      <c r="A20" s="7" t="s">
        <v>414</v>
      </c>
      <c r="B20" s="7" t="s">
        <v>43</v>
      </c>
      <c r="C20" s="7" t="n">
        <v>4</v>
      </c>
      <c r="D20" s="11" t="n">
        <f aca="false">$D$2+(C20-1)*7+4</f>
        <v>46339</v>
      </c>
      <c r="E20" s="7" t="s">
        <v>31</v>
      </c>
      <c r="F20" s="7" t="s">
        <v>310</v>
      </c>
      <c r="G20" s="7" t="s">
        <v>415</v>
      </c>
      <c r="H20" s="7" t="s">
        <v>416</v>
      </c>
      <c r="I20" s="7" t="s">
        <v>271</v>
      </c>
      <c r="J20" s="7" t="s">
        <v>313</v>
      </c>
      <c r="K20" s="7" t="s">
        <v>314</v>
      </c>
      <c r="L20" s="7" t="s">
        <v>289</v>
      </c>
      <c r="M20" s="7" t="s">
        <v>275</v>
      </c>
      <c r="N20" s="7" t="s">
        <v>417</v>
      </c>
      <c r="O20" s="7" t="s">
        <v>418</v>
      </c>
      <c r="P20" s="7" t="s">
        <v>317</v>
      </c>
      <c r="Q20" s="7" t="s">
        <v>305</v>
      </c>
      <c r="R20" s="7"/>
      <c r="S20" s="7"/>
      <c r="T20" s="7" t="s">
        <v>320</v>
      </c>
      <c r="U20" s="7"/>
      <c r="V20" s="7"/>
    </row>
    <row r="21" customFormat="false" ht="23.85" hidden="false" customHeight="false" outlineLevel="0" collapsed="false">
      <c r="A21" s="7" t="s">
        <v>419</v>
      </c>
      <c r="B21" s="7" t="s">
        <v>50</v>
      </c>
      <c r="C21" s="7" t="n">
        <v>5</v>
      </c>
      <c r="D21" s="11" t="n">
        <f aca="false">$D$2+(C21-1)*7+0</f>
        <v>46342</v>
      </c>
      <c r="E21" s="7" t="s">
        <v>33</v>
      </c>
      <c r="F21" s="7" t="s">
        <v>420</v>
      </c>
      <c r="G21" s="7" t="s">
        <v>421</v>
      </c>
      <c r="H21" s="7" t="s">
        <v>422</v>
      </c>
      <c r="I21" s="7" t="s">
        <v>88</v>
      </c>
      <c r="J21" s="7" t="s">
        <v>423</v>
      </c>
      <c r="K21" s="7" t="s">
        <v>424</v>
      </c>
      <c r="L21" s="7" t="s">
        <v>274</v>
      </c>
      <c r="M21" s="7" t="s">
        <v>275</v>
      </c>
      <c r="N21" s="7" t="s">
        <v>302</v>
      </c>
      <c r="O21" s="7" t="s">
        <v>425</v>
      </c>
      <c r="P21" s="7" t="s">
        <v>426</v>
      </c>
      <c r="Q21" s="7" t="s">
        <v>412</v>
      </c>
      <c r="R21" s="7"/>
      <c r="S21" s="7"/>
      <c r="T21" s="7" t="s">
        <v>413</v>
      </c>
      <c r="U21" s="7"/>
      <c r="V21" s="7"/>
    </row>
    <row r="22" customFormat="false" ht="46.25" hidden="false" customHeight="false" outlineLevel="0" collapsed="false">
      <c r="A22" s="7" t="s">
        <v>427</v>
      </c>
      <c r="B22" s="7" t="s">
        <v>50</v>
      </c>
      <c r="C22" s="7" t="n">
        <v>5</v>
      </c>
      <c r="D22" s="11" t="n">
        <f aca="false">$D$2+(C22-1)*7+1</f>
        <v>46343</v>
      </c>
      <c r="E22" s="7" t="s">
        <v>32</v>
      </c>
      <c r="F22" s="7" t="s">
        <v>114</v>
      </c>
      <c r="G22" s="7" t="s">
        <v>428</v>
      </c>
      <c r="H22" s="7" t="s">
        <v>429</v>
      </c>
      <c r="I22" s="7" t="s">
        <v>365</v>
      </c>
      <c r="J22" s="7" t="s">
        <v>430</v>
      </c>
      <c r="K22" s="7" t="s">
        <v>431</v>
      </c>
      <c r="L22" s="7" t="s">
        <v>289</v>
      </c>
      <c r="M22" s="7" t="s">
        <v>275</v>
      </c>
      <c r="N22" s="7" t="s">
        <v>276</v>
      </c>
      <c r="O22" s="7" t="s">
        <v>432</v>
      </c>
      <c r="P22" s="7" t="s">
        <v>433</v>
      </c>
      <c r="Q22" s="7" t="s">
        <v>329</v>
      </c>
      <c r="R22" s="7"/>
      <c r="S22" s="7"/>
      <c r="T22" s="7" t="s">
        <v>434</v>
      </c>
      <c r="U22" s="7"/>
      <c r="V22" s="7"/>
    </row>
    <row r="23" customFormat="false" ht="35.05" hidden="false" customHeight="false" outlineLevel="0" collapsed="false">
      <c r="A23" s="7" t="s">
        <v>435</v>
      </c>
      <c r="B23" s="7" t="s">
        <v>50</v>
      </c>
      <c r="C23" s="7" t="n">
        <v>5</v>
      </c>
      <c r="D23" s="11" t="n">
        <f aca="false">$D$2+(C23-1)*7+2</f>
        <v>46344</v>
      </c>
      <c r="E23" s="7" t="s">
        <v>31</v>
      </c>
      <c r="F23" s="7" t="s">
        <v>310</v>
      </c>
      <c r="G23" s="7" t="s">
        <v>436</v>
      </c>
      <c r="H23" s="7" t="s">
        <v>437</v>
      </c>
      <c r="I23" s="7" t="s">
        <v>271</v>
      </c>
      <c r="J23" s="7" t="s">
        <v>313</v>
      </c>
      <c r="K23" s="7" t="s">
        <v>314</v>
      </c>
      <c r="L23" s="7" t="s">
        <v>274</v>
      </c>
      <c r="M23" s="7" t="s">
        <v>275</v>
      </c>
      <c r="N23" s="7" t="s">
        <v>438</v>
      </c>
      <c r="O23" s="7" t="s">
        <v>439</v>
      </c>
      <c r="P23" s="7" t="s">
        <v>344</v>
      </c>
      <c r="Q23" s="7" t="s">
        <v>329</v>
      </c>
      <c r="R23" s="7"/>
      <c r="S23" s="7"/>
      <c r="T23" s="7" t="s">
        <v>345</v>
      </c>
      <c r="U23" s="7"/>
      <c r="V23" s="7"/>
    </row>
    <row r="24" customFormat="false" ht="35.05" hidden="false" customHeight="false" outlineLevel="0" collapsed="false">
      <c r="A24" s="7" t="s">
        <v>440</v>
      </c>
      <c r="B24" s="7" t="s">
        <v>50</v>
      </c>
      <c r="C24" s="7" t="n">
        <v>5</v>
      </c>
      <c r="D24" s="11" t="n">
        <f aca="false">$D$2+(C24-1)*7+3</f>
        <v>46345</v>
      </c>
      <c r="E24" s="7" t="s">
        <v>32</v>
      </c>
      <c r="F24" s="7" t="s">
        <v>441</v>
      </c>
      <c r="G24" s="7" t="s">
        <v>442</v>
      </c>
      <c r="H24" s="7" t="s">
        <v>443</v>
      </c>
      <c r="I24" s="7" t="s">
        <v>93</v>
      </c>
      <c r="J24" s="7" t="s">
        <v>444</v>
      </c>
      <c r="K24" s="7" t="s">
        <v>445</v>
      </c>
      <c r="L24" s="7" t="s">
        <v>289</v>
      </c>
      <c r="M24" s="7" t="s">
        <v>275</v>
      </c>
      <c r="N24" s="7" t="s">
        <v>276</v>
      </c>
      <c r="O24" s="7" t="s">
        <v>446</v>
      </c>
      <c r="P24" s="7" t="s">
        <v>447</v>
      </c>
      <c r="Q24" s="7" t="s">
        <v>329</v>
      </c>
      <c r="R24" s="7"/>
      <c r="S24" s="7"/>
      <c r="T24" s="7" t="s">
        <v>448</v>
      </c>
      <c r="U24" s="7"/>
      <c r="V24" s="7"/>
    </row>
    <row r="25" customFormat="false" ht="35.05" hidden="false" customHeight="false" outlineLevel="0" collapsed="false">
      <c r="A25" s="7" t="s">
        <v>449</v>
      </c>
      <c r="B25" s="7" t="s">
        <v>50</v>
      </c>
      <c r="C25" s="7" t="n">
        <v>6</v>
      </c>
      <c r="D25" s="11" t="n">
        <f aca="false">$D$2+(C25-1)*7+0</f>
        <v>46349</v>
      </c>
      <c r="E25" s="7" t="s">
        <v>31</v>
      </c>
      <c r="F25" s="7" t="s">
        <v>310</v>
      </c>
      <c r="G25" s="7" t="s">
        <v>450</v>
      </c>
      <c r="H25" s="7" t="s">
        <v>451</v>
      </c>
      <c r="I25" s="7" t="s">
        <v>271</v>
      </c>
      <c r="J25" s="7" t="s">
        <v>313</v>
      </c>
      <c r="K25" s="7" t="s">
        <v>314</v>
      </c>
      <c r="L25" s="7" t="s">
        <v>274</v>
      </c>
      <c r="M25" s="7" t="s">
        <v>275</v>
      </c>
      <c r="N25" s="7" t="s">
        <v>452</v>
      </c>
      <c r="O25" s="7" t="s">
        <v>453</v>
      </c>
      <c r="P25" s="7" t="s">
        <v>344</v>
      </c>
      <c r="Q25" s="7" t="s">
        <v>329</v>
      </c>
      <c r="R25" s="7"/>
      <c r="S25" s="7"/>
      <c r="T25" s="7" t="s">
        <v>345</v>
      </c>
      <c r="U25" s="7"/>
      <c r="V25" s="7"/>
    </row>
    <row r="26" customFormat="false" ht="23.85" hidden="false" customHeight="false" outlineLevel="0" collapsed="false">
      <c r="A26" s="7" t="s">
        <v>239</v>
      </c>
      <c r="B26" s="7" t="s">
        <v>50</v>
      </c>
      <c r="C26" s="7" t="n">
        <v>6</v>
      </c>
      <c r="D26" s="11" t="n">
        <f aca="false">$D$2+(C26-1)*7+1</f>
        <v>46350</v>
      </c>
      <c r="E26" s="7" t="s">
        <v>33</v>
      </c>
      <c r="F26" s="7" t="s">
        <v>454</v>
      </c>
      <c r="G26" s="7" t="s">
        <v>455</v>
      </c>
      <c r="H26" s="7" t="s">
        <v>456</v>
      </c>
      <c r="I26" s="7" t="s">
        <v>385</v>
      </c>
      <c r="J26" s="7" t="s">
        <v>457</v>
      </c>
      <c r="K26" s="7" t="s">
        <v>458</v>
      </c>
      <c r="L26" s="7" t="s">
        <v>289</v>
      </c>
      <c r="M26" s="7" t="s">
        <v>275</v>
      </c>
      <c r="N26" s="7" t="s">
        <v>459</v>
      </c>
      <c r="O26" s="7" t="s">
        <v>460</v>
      </c>
      <c r="P26" s="7" t="s">
        <v>461</v>
      </c>
      <c r="Q26" s="7" t="s">
        <v>329</v>
      </c>
      <c r="R26" s="7"/>
      <c r="S26" s="7"/>
      <c r="T26" s="7" t="s">
        <v>462</v>
      </c>
      <c r="U26" s="7"/>
      <c r="V26" s="7"/>
    </row>
    <row r="27" customFormat="false" ht="35.05" hidden="false" customHeight="false" outlineLevel="0" collapsed="false">
      <c r="A27" s="7" t="s">
        <v>463</v>
      </c>
      <c r="B27" s="7" t="s">
        <v>50</v>
      </c>
      <c r="C27" s="7" t="n">
        <v>6</v>
      </c>
      <c r="D27" s="11" t="n">
        <f aca="false">$D$2+(C27-1)*7+3</f>
        <v>46352</v>
      </c>
      <c r="E27" s="7" t="s">
        <v>32</v>
      </c>
      <c r="F27" s="7" t="s">
        <v>464</v>
      </c>
      <c r="G27" s="7" t="s">
        <v>465</v>
      </c>
      <c r="H27" s="7" t="s">
        <v>466</v>
      </c>
      <c r="I27" s="7" t="s">
        <v>93</v>
      </c>
      <c r="J27" s="7" t="s">
        <v>467</v>
      </c>
      <c r="K27" s="7" t="s">
        <v>468</v>
      </c>
      <c r="L27" s="7" t="s">
        <v>274</v>
      </c>
      <c r="M27" s="7" t="s">
        <v>377</v>
      </c>
      <c r="N27" s="7" t="s">
        <v>276</v>
      </c>
      <c r="O27" s="7" t="s">
        <v>469</v>
      </c>
      <c r="P27" s="7" t="s">
        <v>470</v>
      </c>
      <c r="Q27" s="7" t="s">
        <v>329</v>
      </c>
      <c r="R27" s="7"/>
      <c r="S27" s="7"/>
      <c r="T27" s="7" t="s">
        <v>471</v>
      </c>
      <c r="U27" s="7"/>
      <c r="V27" s="7"/>
    </row>
    <row r="28" customFormat="false" ht="23.85" hidden="false" customHeight="false" outlineLevel="0" collapsed="false">
      <c r="A28" s="7" t="s">
        <v>472</v>
      </c>
      <c r="B28" s="7" t="s">
        <v>50</v>
      </c>
      <c r="C28" s="7" t="n">
        <v>6</v>
      </c>
      <c r="D28" s="11" t="n">
        <f aca="false">$D$2+(C28-1)*7+4</f>
        <v>46353</v>
      </c>
      <c r="E28" s="7" t="s">
        <v>31</v>
      </c>
      <c r="F28" s="7" t="s">
        <v>473</v>
      </c>
      <c r="G28" s="7"/>
      <c r="H28" s="7" t="s">
        <v>474</v>
      </c>
      <c r="I28" s="7" t="s">
        <v>88</v>
      </c>
      <c r="J28" s="7" t="s">
        <v>475</v>
      </c>
      <c r="K28" s="7" t="s">
        <v>476</v>
      </c>
      <c r="L28" s="7" t="s">
        <v>289</v>
      </c>
      <c r="M28" s="7" t="s">
        <v>275</v>
      </c>
      <c r="N28" s="7" t="s">
        <v>276</v>
      </c>
      <c r="O28" s="7" t="s">
        <v>477</v>
      </c>
      <c r="P28" s="7" t="s">
        <v>478</v>
      </c>
      <c r="Q28" s="7" t="s">
        <v>329</v>
      </c>
      <c r="R28" s="7"/>
      <c r="S28" s="7"/>
      <c r="T28" s="7" t="s">
        <v>479</v>
      </c>
      <c r="U28" s="7"/>
      <c r="V28" s="7"/>
    </row>
    <row r="29" customFormat="false" ht="46.25" hidden="false" customHeight="false" outlineLevel="0" collapsed="false">
      <c r="A29" s="7" t="s">
        <v>480</v>
      </c>
      <c r="B29" s="7" t="s">
        <v>50</v>
      </c>
      <c r="C29" s="7" t="n">
        <v>7</v>
      </c>
      <c r="D29" s="11" t="n">
        <f aca="false">$D$2+(C29-1)*7+0</f>
        <v>46356</v>
      </c>
      <c r="E29" s="7" t="s">
        <v>32</v>
      </c>
      <c r="F29" s="7" t="s">
        <v>114</v>
      </c>
      <c r="G29" s="7" t="s">
        <v>481</v>
      </c>
      <c r="H29" s="7" t="s">
        <v>482</v>
      </c>
      <c r="I29" s="7" t="s">
        <v>365</v>
      </c>
      <c r="J29" s="7" t="s">
        <v>483</v>
      </c>
      <c r="K29" s="7" t="s">
        <v>484</v>
      </c>
      <c r="L29" s="7" t="s">
        <v>274</v>
      </c>
      <c r="M29" s="7" t="s">
        <v>275</v>
      </c>
      <c r="N29" s="7" t="s">
        <v>276</v>
      </c>
      <c r="O29" s="7" t="s">
        <v>485</v>
      </c>
      <c r="P29" s="7" t="s">
        <v>486</v>
      </c>
      <c r="Q29" s="7" t="s">
        <v>329</v>
      </c>
      <c r="R29" s="7"/>
      <c r="S29" s="7"/>
      <c r="T29" s="7" t="s">
        <v>487</v>
      </c>
      <c r="U29" s="7"/>
      <c r="V29" s="7"/>
    </row>
    <row r="30" customFormat="false" ht="35.05" hidden="false" customHeight="false" outlineLevel="0" collapsed="false">
      <c r="A30" s="7" t="s">
        <v>488</v>
      </c>
      <c r="B30" s="7" t="s">
        <v>50</v>
      </c>
      <c r="C30" s="7" t="n">
        <v>7</v>
      </c>
      <c r="D30" s="11" t="n">
        <f aca="false">$D$2+(C30-1)*7+1</f>
        <v>46357</v>
      </c>
      <c r="E30" s="7" t="s">
        <v>33</v>
      </c>
      <c r="F30" s="7" t="s">
        <v>489</v>
      </c>
      <c r="G30" s="7" t="s">
        <v>490</v>
      </c>
      <c r="H30" s="7" t="s">
        <v>491</v>
      </c>
      <c r="I30" s="7" t="s">
        <v>271</v>
      </c>
      <c r="J30" s="7" t="s">
        <v>492</v>
      </c>
      <c r="K30" s="7" t="s">
        <v>493</v>
      </c>
      <c r="L30" s="7" t="s">
        <v>494</v>
      </c>
      <c r="M30" s="7" t="s">
        <v>275</v>
      </c>
      <c r="N30" s="7" t="s">
        <v>276</v>
      </c>
      <c r="O30" s="7" t="s">
        <v>495</v>
      </c>
      <c r="P30" s="7" t="s">
        <v>496</v>
      </c>
      <c r="Q30" s="7" t="s">
        <v>329</v>
      </c>
      <c r="R30" s="7"/>
      <c r="S30" s="7"/>
      <c r="T30" s="7" t="s">
        <v>497</v>
      </c>
      <c r="U30" s="7"/>
      <c r="V30" s="7"/>
    </row>
    <row r="31" customFormat="false" ht="35.05" hidden="false" customHeight="false" outlineLevel="0" collapsed="false">
      <c r="A31" s="7" t="s">
        <v>498</v>
      </c>
      <c r="B31" s="7" t="s">
        <v>50</v>
      </c>
      <c r="C31" s="7" t="n">
        <v>7</v>
      </c>
      <c r="D31" s="11" t="n">
        <f aca="false">$D$2+(C31-1)*7+3</f>
        <v>46359</v>
      </c>
      <c r="E31" s="7" t="s">
        <v>31</v>
      </c>
      <c r="F31" s="7" t="s">
        <v>310</v>
      </c>
      <c r="G31" s="7" t="s">
        <v>499</v>
      </c>
      <c r="H31" s="7" t="s">
        <v>500</v>
      </c>
      <c r="I31" s="7" t="s">
        <v>271</v>
      </c>
      <c r="J31" s="7" t="s">
        <v>313</v>
      </c>
      <c r="K31" s="7" t="s">
        <v>314</v>
      </c>
      <c r="L31" s="7" t="s">
        <v>274</v>
      </c>
      <c r="M31" s="7" t="s">
        <v>275</v>
      </c>
      <c r="N31" s="7" t="s">
        <v>501</v>
      </c>
      <c r="O31" s="7" t="s">
        <v>502</v>
      </c>
      <c r="P31" s="7" t="s">
        <v>344</v>
      </c>
      <c r="Q31" s="7" t="s">
        <v>329</v>
      </c>
      <c r="R31" s="7"/>
      <c r="S31" s="7"/>
      <c r="T31" s="7" t="s">
        <v>345</v>
      </c>
      <c r="U31" s="7"/>
      <c r="V31" s="7"/>
    </row>
    <row r="32" customFormat="false" ht="23.85" hidden="false" customHeight="false" outlineLevel="0" collapsed="false">
      <c r="A32" s="7" t="s">
        <v>503</v>
      </c>
      <c r="B32" s="7" t="s">
        <v>50</v>
      </c>
      <c r="C32" s="7" t="n">
        <v>7</v>
      </c>
      <c r="D32" s="11" t="n">
        <f aca="false">$D$2+(C32-1)*7+4</f>
        <v>46360</v>
      </c>
      <c r="E32" s="7" t="s">
        <v>32</v>
      </c>
      <c r="F32" s="7" t="s">
        <v>134</v>
      </c>
      <c r="G32" s="7" t="s">
        <v>177</v>
      </c>
      <c r="H32" s="7" t="s">
        <v>504</v>
      </c>
      <c r="I32" s="7" t="s">
        <v>271</v>
      </c>
      <c r="J32" s="7" t="s">
        <v>505</v>
      </c>
      <c r="K32" s="7" t="s">
        <v>506</v>
      </c>
      <c r="L32" s="7" t="s">
        <v>289</v>
      </c>
      <c r="M32" s="7" t="s">
        <v>275</v>
      </c>
      <c r="N32" s="7" t="s">
        <v>276</v>
      </c>
      <c r="O32" s="7" t="s">
        <v>507</v>
      </c>
      <c r="P32" s="7" t="s">
        <v>508</v>
      </c>
      <c r="Q32" s="7" t="s">
        <v>329</v>
      </c>
      <c r="R32" s="7"/>
      <c r="S32" s="7"/>
      <c r="T32" s="7" t="s">
        <v>509</v>
      </c>
      <c r="U32" s="7"/>
      <c r="V32" s="7"/>
    </row>
    <row r="33" customFormat="false" ht="23.85" hidden="false" customHeight="false" outlineLevel="0" collapsed="false">
      <c r="A33" s="7" t="s">
        <v>510</v>
      </c>
      <c r="B33" s="7" t="s">
        <v>50</v>
      </c>
      <c r="C33" s="7" t="n">
        <v>8</v>
      </c>
      <c r="D33" s="11" t="n">
        <f aca="false">$D$2+(C33-1)*7+0</f>
        <v>46363</v>
      </c>
      <c r="E33" s="7" t="s">
        <v>33</v>
      </c>
      <c r="F33" s="7" t="s">
        <v>332</v>
      </c>
      <c r="G33" s="7" t="s">
        <v>189</v>
      </c>
      <c r="H33" s="7" t="s">
        <v>511</v>
      </c>
      <c r="I33" s="7" t="s">
        <v>271</v>
      </c>
      <c r="J33" s="7" t="s">
        <v>512</v>
      </c>
      <c r="K33" s="7" t="s">
        <v>513</v>
      </c>
      <c r="L33" s="7" t="s">
        <v>274</v>
      </c>
      <c r="M33" s="7" t="s">
        <v>275</v>
      </c>
      <c r="N33" s="7" t="s">
        <v>514</v>
      </c>
      <c r="O33" s="7" t="s">
        <v>515</v>
      </c>
      <c r="P33" s="7" t="s">
        <v>516</v>
      </c>
      <c r="Q33" s="7" t="s">
        <v>412</v>
      </c>
      <c r="R33" s="7"/>
      <c r="S33" s="7"/>
      <c r="T33" s="7" t="s">
        <v>517</v>
      </c>
      <c r="U33" s="7"/>
      <c r="V33" s="7"/>
    </row>
    <row r="34" customFormat="false" ht="35.05" hidden="false" customHeight="false" outlineLevel="0" collapsed="false">
      <c r="A34" s="7" t="s">
        <v>518</v>
      </c>
      <c r="B34" s="7" t="s">
        <v>50</v>
      </c>
      <c r="C34" s="7" t="n">
        <v>8</v>
      </c>
      <c r="D34" s="11" t="n">
        <f aca="false">$D$2+(C34-1)*7+1</f>
        <v>46364</v>
      </c>
      <c r="E34" s="7" t="s">
        <v>32</v>
      </c>
      <c r="F34" s="7" t="s">
        <v>114</v>
      </c>
      <c r="G34" s="7" t="s">
        <v>519</v>
      </c>
      <c r="H34" s="7" t="s">
        <v>520</v>
      </c>
      <c r="I34" s="7" t="s">
        <v>365</v>
      </c>
      <c r="J34" s="7" t="s">
        <v>521</v>
      </c>
      <c r="K34" s="7" t="s">
        <v>522</v>
      </c>
      <c r="L34" s="7" t="s">
        <v>289</v>
      </c>
      <c r="M34" s="7" t="s">
        <v>275</v>
      </c>
      <c r="N34" s="7" t="s">
        <v>276</v>
      </c>
      <c r="O34" s="7" t="s">
        <v>523</v>
      </c>
      <c r="P34" s="7" t="s">
        <v>524</v>
      </c>
      <c r="Q34" s="7" t="s">
        <v>329</v>
      </c>
      <c r="R34" s="7"/>
      <c r="S34" s="7"/>
      <c r="T34" s="7" t="s">
        <v>479</v>
      </c>
      <c r="U34" s="7"/>
      <c r="V34" s="7"/>
    </row>
    <row r="35" customFormat="false" ht="35.05" hidden="false" customHeight="false" outlineLevel="0" collapsed="false">
      <c r="A35" s="7" t="s">
        <v>525</v>
      </c>
      <c r="B35" s="7" t="s">
        <v>50</v>
      </c>
      <c r="C35" s="7" t="n">
        <v>8</v>
      </c>
      <c r="D35" s="11" t="n">
        <f aca="false">$D$2+(C35-1)*7+3</f>
        <v>46366</v>
      </c>
      <c r="E35" s="7" t="s">
        <v>31</v>
      </c>
      <c r="F35" s="7" t="s">
        <v>310</v>
      </c>
      <c r="G35" s="7" t="s">
        <v>526</v>
      </c>
      <c r="H35" s="7" t="s">
        <v>527</v>
      </c>
      <c r="I35" s="7" t="s">
        <v>271</v>
      </c>
      <c r="J35" s="7" t="s">
        <v>313</v>
      </c>
      <c r="K35" s="7" t="s">
        <v>314</v>
      </c>
      <c r="L35" s="7" t="s">
        <v>274</v>
      </c>
      <c r="M35" s="7" t="s">
        <v>275</v>
      </c>
      <c r="N35" s="7" t="s">
        <v>528</v>
      </c>
      <c r="O35" s="7" t="s">
        <v>529</v>
      </c>
      <c r="P35" s="7" t="s">
        <v>344</v>
      </c>
      <c r="Q35" s="7" t="s">
        <v>329</v>
      </c>
      <c r="R35" s="7"/>
      <c r="S35" s="7"/>
      <c r="T35" s="7" t="s">
        <v>345</v>
      </c>
      <c r="U35" s="7"/>
      <c r="V35" s="7"/>
    </row>
    <row r="36" customFormat="false" ht="23.85" hidden="false" customHeight="false" outlineLevel="0" collapsed="false">
      <c r="A36" s="7" t="s">
        <v>530</v>
      </c>
      <c r="B36" s="7" t="s">
        <v>50</v>
      </c>
      <c r="C36" s="7" t="n">
        <v>8</v>
      </c>
      <c r="D36" s="11" t="n">
        <f aca="false">$D$2+(C36-1)*7+4</f>
        <v>46367</v>
      </c>
      <c r="E36" s="7" t="s">
        <v>32</v>
      </c>
      <c r="F36" s="7" t="s">
        <v>531</v>
      </c>
      <c r="G36" s="7" t="s">
        <v>532</v>
      </c>
      <c r="H36" s="7" t="s">
        <v>533</v>
      </c>
      <c r="I36" s="7" t="s">
        <v>93</v>
      </c>
      <c r="J36" s="7" t="s">
        <v>534</v>
      </c>
      <c r="K36" s="7" t="s">
        <v>535</v>
      </c>
      <c r="L36" s="7" t="s">
        <v>289</v>
      </c>
      <c r="M36" s="7" t="s">
        <v>377</v>
      </c>
      <c r="N36" s="7" t="s">
        <v>276</v>
      </c>
      <c r="O36" s="7" t="s">
        <v>536</v>
      </c>
      <c r="P36" s="7" t="s">
        <v>537</v>
      </c>
      <c r="Q36" s="7" t="s">
        <v>329</v>
      </c>
      <c r="R36" s="7"/>
      <c r="S36" s="7"/>
      <c r="T36" s="7" t="s">
        <v>448</v>
      </c>
      <c r="U36" s="7"/>
      <c r="V36" s="7"/>
    </row>
    <row r="37" customFormat="false" ht="23.85" hidden="false" customHeight="false" outlineLevel="0" collapsed="false">
      <c r="A37" s="7" t="s">
        <v>538</v>
      </c>
      <c r="B37" s="7" t="s">
        <v>57</v>
      </c>
      <c r="C37" s="7" t="n">
        <v>9</v>
      </c>
      <c r="D37" s="11" t="n">
        <f aca="false">$D$2+(C37-1)*7+0</f>
        <v>46370</v>
      </c>
      <c r="E37" s="7" t="s">
        <v>31</v>
      </c>
      <c r="F37" s="7" t="s">
        <v>310</v>
      </c>
      <c r="G37" s="7" t="s">
        <v>539</v>
      </c>
      <c r="H37" s="7" t="s">
        <v>540</v>
      </c>
      <c r="I37" s="7" t="s">
        <v>271</v>
      </c>
      <c r="J37" s="7" t="s">
        <v>541</v>
      </c>
      <c r="K37" s="7" t="s">
        <v>542</v>
      </c>
      <c r="L37" s="7" t="s">
        <v>274</v>
      </c>
      <c r="M37" s="7" t="s">
        <v>275</v>
      </c>
      <c r="N37" s="7" t="s">
        <v>543</v>
      </c>
      <c r="O37" s="7" t="s">
        <v>544</v>
      </c>
      <c r="P37" s="7" t="s">
        <v>545</v>
      </c>
      <c r="Q37" s="7" t="s">
        <v>546</v>
      </c>
      <c r="R37" s="7"/>
      <c r="S37" s="7"/>
      <c r="T37" s="7" t="s">
        <v>487</v>
      </c>
      <c r="U37" s="7"/>
      <c r="V37" s="7"/>
    </row>
    <row r="38" customFormat="false" ht="23.85" hidden="false" customHeight="false" outlineLevel="0" collapsed="false">
      <c r="A38" s="7" t="s">
        <v>547</v>
      </c>
      <c r="B38" s="7" t="s">
        <v>57</v>
      </c>
      <c r="C38" s="7" t="n">
        <v>9</v>
      </c>
      <c r="D38" s="11" t="n">
        <f aca="false">$D$2+(C38-1)*7+1</f>
        <v>46371</v>
      </c>
      <c r="E38" s="7" t="s">
        <v>32</v>
      </c>
      <c r="F38" s="7" t="s">
        <v>548</v>
      </c>
      <c r="G38" s="7" t="s">
        <v>549</v>
      </c>
      <c r="H38" s="7" t="s">
        <v>550</v>
      </c>
      <c r="I38" s="7" t="s">
        <v>93</v>
      </c>
      <c r="J38" s="7" t="s">
        <v>551</v>
      </c>
      <c r="K38" s="7" t="s">
        <v>552</v>
      </c>
      <c r="L38" s="7" t="s">
        <v>289</v>
      </c>
      <c r="M38" s="7" t="s">
        <v>377</v>
      </c>
      <c r="N38" s="7" t="s">
        <v>276</v>
      </c>
      <c r="O38" s="7" t="s">
        <v>553</v>
      </c>
      <c r="P38" s="7" t="s">
        <v>554</v>
      </c>
      <c r="Q38" s="7" t="s">
        <v>546</v>
      </c>
      <c r="R38" s="7"/>
      <c r="S38" s="7"/>
      <c r="T38" s="7" t="s">
        <v>555</v>
      </c>
      <c r="U38" s="7"/>
      <c r="V38" s="7"/>
    </row>
    <row r="39" customFormat="false" ht="23.85" hidden="false" customHeight="false" outlineLevel="0" collapsed="false">
      <c r="A39" s="7" t="s">
        <v>556</v>
      </c>
      <c r="B39" s="7" t="s">
        <v>57</v>
      </c>
      <c r="C39" s="7" t="n">
        <v>9</v>
      </c>
      <c r="D39" s="11" t="n">
        <f aca="false">$D$2+(C39-1)*7+3</f>
        <v>46373</v>
      </c>
      <c r="E39" s="7" t="s">
        <v>33</v>
      </c>
      <c r="F39" s="7" t="s">
        <v>489</v>
      </c>
      <c r="G39" s="7" t="s">
        <v>557</v>
      </c>
      <c r="H39" s="7" t="s">
        <v>558</v>
      </c>
      <c r="I39" s="7" t="s">
        <v>271</v>
      </c>
      <c r="J39" s="7" t="s">
        <v>559</v>
      </c>
      <c r="K39" s="7" t="s">
        <v>560</v>
      </c>
      <c r="L39" s="7" t="s">
        <v>274</v>
      </c>
      <c r="M39" s="7" t="s">
        <v>275</v>
      </c>
      <c r="N39" s="7" t="s">
        <v>276</v>
      </c>
      <c r="O39" s="7" t="s">
        <v>561</v>
      </c>
      <c r="P39" s="7" t="s">
        <v>562</v>
      </c>
      <c r="Q39" s="7" t="s">
        <v>546</v>
      </c>
      <c r="R39" s="7"/>
      <c r="S39" s="7"/>
      <c r="T39" s="7" t="s">
        <v>563</v>
      </c>
      <c r="U39" s="7"/>
      <c r="V39" s="7"/>
    </row>
    <row r="40" customFormat="false" ht="23.85" hidden="false" customHeight="false" outlineLevel="0" collapsed="false">
      <c r="A40" s="7" t="s">
        <v>564</v>
      </c>
      <c r="B40" s="7" t="s">
        <v>57</v>
      </c>
      <c r="C40" s="7" t="n">
        <v>9</v>
      </c>
      <c r="D40" s="11" t="n">
        <f aca="false">$D$2+(C40-1)*7+4</f>
        <v>46374</v>
      </c>
      <c r="E40" s="7" t="s">
        <v>31</v>
      </c>
      <c r="F40" s="7" t="s">
        <v>565</v>
      </c>
      <c r="G40" s="7"/>
      <c r="H40" s="7" t="s">
        <v>566</v>
      </c>
      <c r="I40" s="7" t="s">
        <v>365</v>
      </c>
      <c r="J40" s="7" t="s">
        <v>567</v>
      </c>
      <c r="K40" s="7" t="s">
        <v>568</v>
      </c>
      <c r="L40" s="7" t="s">
        <v>289</v>
      </c>
      <c r="M40" s="7" t="s">
        <v>275</v>
      </c>
      <c r="N40" s="7" t="s">
        <v>276</v>
      </c>
      <c r="O40" s="7" t="s">
        <v>569</v>
      </c>
      <c r="P40" s="7" t="s">
        <v>570</v>
      </c>
      <c r="Q40" s="7" t="s">
        <v>546</v>
      </c>
      <c r="R40" s="7"/>
      <c r="S40" s="7"/>
      <c r="T40" s="7" t="s">
        <v>479</v>
      </c>
      <c r="U40" s="7"/>
      <c r="V40" s="7"/>
    </row>
    <row r="41" customFormat="false" ht="23.85" hidden="false" customHeight="false" outlineLevel="0" collapsed="false">
      <c r="A41" s="7" t="s">
        <v>571</v>
      </c>
      <c r="B41" s="7" t="s">
        <v>57</v>
      </c>
      <c r="C41" s="7" t="n">
        <v>10</v>
      </c>
      <c r="D41" s="11" t="n">
        <f aca="false">$D$2+(C41-1)*7+0</f>
        <v>46377</v>
      </c>
      <c r="E41" s="7" t="s">
        <v>32</v>
      </c>
      <c r="F41" s="7" t="s">
        <v>114</v>
      </c>
      <c r="G41" s="7" t="s">
        <v>572</v>
      </c>
      <c r="H41" s="7" t="s">
        <v>573</v>
      </c>
      <c r="I41" s="7" t="s">
        <v>365</v>
      </c>
      <c r="J41" s="7" t="s">
        <v>574</v>
      </c>
      <c r="K41" s="7" t="s">
        <v>575</v>
      </c>
      <c r="L41" s="7" t="s">
        <v>274</v>
      </c>
      <c r="M41" s="7" t="s">
        <v>275</v>
      </c>
      <c r="N41" s="7" t="s">
        <v>276</v>
      </c>
      <c r="O41" s="7" t="s">
        <v>576</v>
      </c>
      <c r="P41" s="7" t="s">
        <v>577</v>
      </c>
      <c r="Q41" s="7" t="s">
        <v>546</v>
      </c>
      <c r="R41" s="7"/>
      <c r="S41" s="7"/>
      <c r="T41" s="7" t="s">
        <v>487</v>
      </c>
      <c r="U41" s="7"/>
      <c r="V41" s="7"/>
    </row>
    <row r="42" customFormat="false" ht="35.05" hidden="false" customHeight="false" outlineLevel="0" collapsed="false">
      <c r="A42" s="7" t="s">
        <v>578</v>
      </c>
      <c r="B42" s="7" t="s">
        <v>57</v>
      </c>
      <c r="C42" s="7" t="n">
        <v>10</v>
      </c>
      <c r="D42" s="11" t="n">
        <f aca="false">$D$2+(C42-1)*7+1</f>
        <v>46378</v>
      </c>
      <c r="E42" s="7" t="s">
        <v>33</v>
      </c>
      <c r="F42" s="7" t="s">
        <v>579</v>
      </c>
      <c r="G42" s="7" t="s">
        <v>580</v>
      </c>
      <c r="H42" s="7" t="s">
        <v>581</v>
      </c>
      <c r="I42" s="7" t="s">
        <v>365</v>
      </c>
      <c r="J42" s="7" t="s">
        <v>582</v>
      </c>
      <c r="K42" s="7" t="s">
        <v>583</v>
      </c>
      <c r="L42" s="7" t="s">
        <v>289</v>
      </c>
      <c r="M42" s="7" t="s">
        <v>275</v>
      </c>
      <c r="N42" s="7" t="s">
        <v>276</v>
      </c>
      <c r="O42" s="7" t="s">
        <v>584</v>
      </c>
      <c r="P42" s="7" t="s">
        <v>585</v>
      </c>
      <c r="Q42" s="7" t="s">
        <v>546</v>
      </c>
      <c r="R42" s="7"/>
      <c r="S42" s="7"/>
      <c r="T42" s="7" t="s">
        <v>586</v>
      </c>
      <c r="U42" s="7"/>
      <c r="V42" s="7"/>
    </row>
    <row r="43" customFormat="false" ht="23.85" hidden="false" customHeight="false" outlineLevel="0" collapsed="false">
      <c r="A43" s="7" t="s">
        <v>587</v>
      </c>
      <c r="B43" s="7" t="s">
        <v>57</v>
      </c>
      <c r="C43" s="7" t="n">
        <v>10</v>
      </c>
      <c r="D43" s="11" t="n">
        <f aca="false">$D$2+(C43-1)*7+2</f>
        <v>46379</v>
      </c>
      <c r="E43" s="7" t="s">
        <v>31</v>
      </c>
      <c r="F43" s="7" t="s">
        <v>588</v>
      </c>
      <c r="G43" s="7"/>
      <c r="H43" s="7" t="s">
        <v>589</v>
      </c>
      <c r="I43" s="7" t="s">
        <v>271</v>
      </c>
      <c r="J43" s="7" t="s">
        <v>590</v>
      </c>
      <c r="K43" s="7" t="s">
        <v>591</v>
      </c>
      <c r="L43" s="7" t="s">
        <v>274</v>
      </c>
      <c r="M43" s="7" t="s">
        <v>377</v>
      </c>
      <c r="N43" s="7" t="s">
        <v>276</v>
      </c>
      <c r="O43" s="7" t="s">
        <v>592</v>
      </c>
      <c r="P43" s="7" t="s">
        <v>593</v>
      </c>
      <c r="Q43" s="7" t="s">
        <v>546</v>
      </c>
      <c r="R43" s="7"/>
      <c r="S43" s="7"/>
      <c r="T43" s="7" t="s">
        <v>594</v>
      </c>
      <c r="U43" s="7"/>
      <c r="V43" s="7"/>
    </row>
    <row r="44" customFormat="false" ht="35.05" hidden="false" customHeight="false" outlineLevel="0" collapsed="false">
      <c r="A44" s="7" t="s">
        <v>595</v>
      </c>
      <c r="B44" s="7" t="s">
        <v>57</v>
      </c>
      <c r="C44" s="7" t="n">
        <v>10</v>
      </c>
      <c r="D44" s="11" t="n">
        <f aca="false">$D$2+(C44-1)*7+3</f>
        <v>46380</v>
      </c>
      <c r="E44" s="7" t="s">
        <v>32</v>
      </c>
      <c r="F44" s="7" t="s">
        <v>596</v>
      </c>
      <c r="G44" s="7" t="s">
        <v>597</v>
      </c>
      <c r="H44" s="7" t="s">
        <v>598</v>
      </c>
      <c r="I44" s="7" t="s">
        <v>385</v>
      </c>
      <c r="J44" s="7" t="s">
        <v>599</v>
      </c>
      <c r="K44" s="7" t="s">
        <v>600</v>
      </c>
      <c r="L44" s="7" t="s">
        <v>289</v>
      </c>
      <c r="M44" s="7" t="s">
        <v>275</v>
      </c>
      <c r="N44" s="7" t="s">
        <v>276</v>
      </c>
      <c r="O44" s="7" t="s">
        <v>601</v>
      </c>
      <c r="P44" s="7" t="s">
        <v>602</v>
      </c>
      <c r="Q44" s="7" t="s">
        <v>546</v>
      </c>
      <c r="R44" s="7"/>
      <c r="S44" s="7"/>
      <c r="T44" s="7" t="s">
        <v>586</v>
      </c>
      <c r="U44" s="7"/>
      <c r="V44" s="7"/>
    </row>
    <row r="45" customFormat="false" ht="23.85" hidden="false" customHeight="false" outlineLevel="0" collapsed="false">
      <c r="A45" s="7" t="s">
        <v>603</v>
      </c>
      <c r="B45" s="7" t="s">
        <v>57</v>
      </c>
      <c r="C45" s="7" t="n">
        <v>11</v>
      </c>
      <c r="D45" s="11" t="n">
        <f aca="false">$D$2+(C45-1)*7+0</f>
        <v>46384</v>
      </c>
      <c r="E45" s="7" t="s">
        <v>33</v>
      </c>
      <c r="F45" s="7" t="s">
        <v>604</v>
      </c>
      <c r="G45" s="7" t="s">
        <v>189</v>
      </c>
      <c r="H45" s="7" t="s">
        <v>605</v>
      </c>
      <c r="I45" s="7" t="s">
        <v>299</v>
      </c>
      <c r="J45" s="7" t="s">
        <v>606</v>
      </c>
      <c r="K45" s="7" t="s">
        <v>607</v>
      </c>
      <c r="L45" s="7" t="s">
        <v>274</v>
      </c>
      <c r="M45" s="7" t="s">
        <v>275</v>
      </c>
      <c r="N45" s="7" t="s">
        <v>608</v>
      </c>
      <c r="O45" s="7" t="s">
        <v>609</v>
      </c>
      <c r="P45" s="7" t="s">
        <v>610</v>
      </c>
      <c r="Q45" s="7" t="s">
        <v>412</v>
      </c>
      <c r="R45" s="7"/>
      <c r="S45" s="7"/>
      <c r="T45" s="7" t="s">
        <v>517</v>
      </c>
      <c r="U45" s="7"/>
      <c r="V45" s="7"/>
    </row>
    <row r="46" customFormat="false" ht="35.05" hidden="false" customHeight="false" outlineLevel="0" collapsed="false">
      <c r="A46" s="7" t="s">
        <v>611</v>
      </c>
      <c r="B46" s="7" t="s">
        <v>57</v>
      </c>
      <c r="C46" s="7" t="n">
        <v>11</v>
      </c>
      <c r="D46" s="11" t="n">
        <f aca="false">$D$2+(C46-1)*7+1</f>
        <v>46385</v>
      </c>
      <c r="E46" s="7" t="s">
        <v>31</v>
      </c>
      <c r="F46" s="7" t="s">
        <v>612</v>
      </c>
      <c r="G46" s="7" t="s">
        <v>613</v>
      </c>
      <c r="H46" s="7" t="s">
        <v>614</v>
      </c>
      <c r="I46" s="7" t="s">
        <v>385</v>
      </c>
      <c r="J46" s="7" t="s">
        <v>615</v>
      </c>
      <c r="K46" s="7" t="s">
        <v>616</v>
      </c>
      <c r="L46" s="7" t="s">
        <v>289</v>
      </c>
      <c r="M46" s="7" t="s">
        <v>275</v>
      </c>
      <c r="N46" s="7" t="s">
        <v>276</v>
      </c>
      <c r="O46" s="7" t="s">
        <v>617</v>
      </c>
      <c r="P46" s="7" t="s">
        <v>618</v>
      </c>
      <c r="Q46" s="7" t="s">
        <v>546</v>
      </c>
      <c r="R46" s="7"/>
      <c r="S46" s="7"/>
      <c r="T46" s="7" t="s">
        <v>619</v>
      </c>
      <c r="U46" s="7"/>
      <c r="V46" s="7"/>
    </row>
    <row r="47" customFormat="false" ht="35.05" hidden="false" customHeight="false" outlineLevel="0" collapsed="false">
      <c r="A47" s="7" t="s">
        <v>620</v>
      </c>
      <c r="B47" s="7" t="s">
        <v>57</v>
      </c>
      <c r="C47" s="7" t="n">
        <v>11</v>
      </c>
      <c r="D47" s="11" t="n">
        <f aca="false">$D$2+(C47-1)*7+2</f>
        <v>46386</v>
      </c>
      <c r="E47" s="7" t="s">
        <v>32</v>
      </c>
      <c r="F47" s="7" t="s">
        <v>621</v>
      </c>
      <c r="G47" s="7"/>
      <c r="H47" s="7" t="s">
        <v>622</v>
      </c>
      <c r="I47" s="7" t="s">
        <v>385</v>
      </c>
      <c r="J47" s="7" t="s">
        <v>623</v>
      </c>
      <c r="K47" s="7" t="s">
        <v>624</v>
      </c>
      <c r="L47" s="7" t="s">
        <v>274</v>
      </c>
      <c r="M47" s="7" t="s">
        <v>275</v>
      </c>
      <c r="N47" s="7" t="s">
        <v>276</v>
      </c>
      <c r="O47" s="7" t="s">
        <v>625</v>
      </c>
      <c r="P47" s="7" t="s">
        <v>626</v>
      </c>
      <c r="Q47" s="7" t="s">
        <v>546</v>
      </c>
      <c r="R47" s="7"/>
      <c r="S47" s="7"/>
      <c r="T47" s="7" t="s">
        <v>627</v>
      </c>
      <c r="U47" s="7"/>
      <c r="V47" s="7"/>
    </row>
    <row r="48" customFormat="false" ht="23.85" hidden="false" customHeight="false" outlineLevel="0" collapsed="false">
      <c r="A48" s="7" t="s">
        <v>628</v>
      </c>
      <c r="B48" s="7" t="s">
        <v>57</v>
      </c>
      <c r="C48" s="7" t="n">
        <v>11</v>
      </c>
      <c r="D48" s="11" t="n">
        <f aca="false">$D$2+(C48-1)*7+3</f>
        <v>46387</v>
      </c>
      <c r="E48" s="7" t="s">
        <v>33</v>
      </c>
      <c r="F48" s="7" t="s">
        <v>629</v>
      </c>
      <c r="G48" s="7"/>
      <c r="H48" s="7" t="s">
        <v>630</v>
      </c>
      <c r="I48" s="7" t="s">
        <v>88</v>
      </c>
      <c r="J48" s="7" t="s">
        <v>631</v>
      </c>
      <c r="K48" s="7" t="s">
        <v>632</v>
      </c>
      <c r="L48" s="7" t="s">
        <v>289</v>
      </c>
      <c r="M48" s="7" t="s">
        <v>275</v>
      </c>
      <c r="N48" s="7" t="s">
        <v>633</v>
      </c>
      <c r="O48" s="7" t="s">
        <v>634</v>
      </c>
      <c r="P48" s="7" t="s">
        <v>635</v>
      </c>
      <c r="Q48" s="7" t="s">
        <v>546</v>
      </c>
      <c r="R48" s="7"/>
      <c r="S48" s="7"/>
      <c r="T48" s="7" t="s">
        <v>636</v>
      </c>
      <c r="U48" s="7"/>
      <c r="V48" s="7"/>
    </row>
    <row r="49" customFormat="false" ht="23.85" hidden="false" customHeight="false" outlineLevel="0" collapsed="false">
      <c r="A49" s="7" t="s">
        <v>637</v>
      </c>
      <c r="B49" s="7" t="s">
        <v>57</v>
      </c>
      <c r="C49" s="7" t="n">
        <v>12</v>
      </c>
      <c r="D49" s="11" t="n">
        <f aca="false">$D$2+(C49-1)*7+0</f>
        <v>46391</v>
      </c>
      <c r="E49" s="7" t="s">
        <v>31</v>
      </c>
      <c r="F49" s="7" t="s">
        <v>638</v>
      </c>
      <c r="G49" s="7"/>
      <c r="H49" s="7" t="s">
        <v>639</v>
      </c>
      <c r="I49" s="7" t="s">
        <v>299</v>
      </c>
      <c r="J49" s="7" t="s">
        <v>640</v>
      </c>
      <c r="K49" s="7" t="s">
        <v>641</v>
      </c>
      <c r="L49" s="7" t="s">
        <v>274</v>
      </c>
      <c r="M49" s="7" t="s">
        <v>275</v>
      </c>
      <c r="N49" s="7" t="s">
        <v>276</v>
      </c>
      <c r="O49" s="7" t="s">
        <v>642</v>
      </c>
      <c r="P49" s="7" t="s">
        <v>643</v>
      </c>
      <c r="Q49" s="7" t="s">
        <v>546</v>
      </c>
      <c r="R49" s="7"/>
      <c r="S49" s="7"/>
      <c r="T49" s="7" t="s">
        <v>487</v>
      </c>
      <c r="U49" s="7"/>
      <c r="V49" s="7"/>
    </row>
    <row r="50" customFormat="false" ht="23.85" hidden="false" customHeight="false" outlineLevel="0" collapsed="false">
      <c r="A50" s="7" t="s">
        <v>644</v>
      </c>
      <c r="B50" s="7" t="s">
        <v>57</v>
      </c>
      <c r="C50" s="7" t="n">
        <v>12</v>
      </c>
      <c r="D50" s="11" t="n">
        <f aca="false">$D$2+(C50-1)*7+1</f>
        <v>46392</v>
      </c>
      <c r="E50" s="7" t="s">
        <v>32</v>
      </c>
      <c r="F50" s="7" t="s">
        <v>645</v>
      </c>
      <c r="G50" s="7" t="s">
        <v>646</v>
      </c>
      <c r="H50" s="7" t="s">
        <v>647</v>
      </c>
      <c r="I50" s="7" t="s">
        <v>93</v>
      </c>
      <c r="J50" s="7" t="s">
        <v>648</v>
      </c>
      <c r="K50" s="7" t="s">
        <v>649</v>
      </c>
      <c r="L50" s="7" t="s">
        <v>289</v>
      </c>
      <c r="M50" s="7" t="s">
        <v>377</v>
      </c>
      <c r="N50" s="7" t="s">
        <v>276</v>
      </c>
      <c r="O50" s="7" t="s">
        <v>650</v>
      </c>
      <c r="P50" s="7" t="s">
        <v>651</v>
      </c>
      <c r="Q50" s="7" t="s">
        <v>546</v>
      </c>
      <c r="R50" s="7"/>
      <c r="S50" s="7"/>
      <c r="T50" s="7" t="s">
        <v>555</v>
      </c>
      <c r="U50" s="7"/>
      <c r="V50" s="7"/>
    </row>
    <row r="51" customFormat="false" ht="23.85" hidden="false" customHeight="false" outlineLevel="0" collapsed="false">
      <c r="A51" s="7" t="s">
        <v>652</v>
      </c>
      <c r="B51" s="7" t="s">
        <v>57</v>
      </c>
      <c r="C51" s="7" t="n">
        <v>12</v>
      </c>
      <c r="D51" s="11" t="n">
        <f aca="false">$D$2+(C51-1)*7+3</f>
        <v>46394</v>
      </c>
      <c r="E51" s="7" t="s">
        <v>33</v>
      </c>
      <c r="F51" s="7" t="s">
        <v>189</v>
      </c>
      <c r="G51" s="7" t="s">
        <v>189</v>
      </c>
      <c r="H51" s="7" t="s">
        <v>406</v>
      </c>
      <c r="I51" s="7" t="s">
        <v>407</v>
      </c>
      <c r="J51" s="7" t="s">
        <v>408</v>
      </c>
      <c r="K51" s="7" t="s">
        <v>409</v>
      </c>
      <c r="L51" s="7" t="s">
        <v>274</v>
      </c>
      <c r="M51" s="7" t="s">
        <v>275</v>
      </c>
      <c r="N51" s="7" t="s">
        <v>410</v>
      </c>
      <c r="O51" s="7" t="s">
        <v>407</v>
      </c>
      <c r="P51" s="7" t="s">
        <v>411</v>
      </c>
      <c r="Q51" s="7" t="s">
        <v>412</v>
      </c>
      <c r="R51" s="7"/>
      <c r="S51" s="7"/>
      <c r="T51" s="7" t="s">
        <v>517</v>
      </c>
      <c r="U51" s="7"/>
      <c r="V51" s="7"/>
    </row>
    <row r="52" customFormat="false" ht="23.85" hidden="false" customHeight="false" outlineLevel="0" collapsed="false">
      <c r="A52" s="7" t="s">
        <v>653</v>
      </c>
      <c r="B52" s="7" t="s">
        <v>57</v>
      </c>
      <c r="C52" s="7" t="n">
        <v>12</v>
      </c>
      <c r="D52" s="11" t="n">
        <f aca="false">$D$2+(C52-1)*7+4</f>
        <v>46395</v>
      </c>
      <c r="E52" s="7" t="s">
        <v>32</v>
      </c>
      <c r="F52" s="7" t="s">
        <v>654</v>
      </c>
      <c r="G52" s="7"/>
      <c r="H52" s="7" t="s">
        <v>655</v>
      </c>
      <c r="I52" s="7" t="s">
        <v>385</v>
      </c>
      <c r="J52" s="7" t="s">
        <v>656</v>
      </c>
      <c r="K52" s="7" t="s">
        <v>657</v>
      </c>
      <c r="L52" s="7" t="s">
        <v>289</v>
      </c>
      <c r="M52" s="7" t="s">
        <v>275</v>
      </c>
      <c r="N52" s="7" t="s">
        <v>276</v>
      </c>
      <c r="O52" s="7" t="s">
        <v>658</v>
      </c>
      <c r="P52" s="7" t="s">
        <v>659</v>
      </c>
      <c r="Q52" s="7" t="s">
        <v>546</v>
      </c>
      <c r="R52" s="7"/>
      <c r="S52" s="7"/>
      <c r="T52" s="7" t="s">
        <v>660</v>
      </c>
      <c r="U52" s="7"/>
      <c r="V52" s="7"/>
    </row>
  </sheetData>
  <autoFilter ref="A4:V202"/>
  <mergeCells count="1">
    <mergeCell ref="A2:C2"/>
  </mergeCells>
  <conditionalFormatting sqref="E5:E202">
    <cfRule type="expression" priority="2" aboveAverage="0" equalAverage="0" bottom="0" percent="0" rank="0" text="" dxfId="7">
      <formula>$E5="Institucional"</formula>
    </cfRule>
    <cfRule type="expression" priority="3" aboveAverage="0" equalAverage="0" bottom="0" percent="0" rank="0" text="" dxfId="8">
      <formula>$E5="Produto"</formula>
    </cfRule>
    <cfRule type="expression" priority="4" aboveAverage="0" equalAverage="0" bottom="0" percent="0" rank="0" text="" dxfId="9">
      <formula>$E5="Projetos, eventos e entregas"</formula>
    </cfRule>
  </conditionalFormatting>
  <conditionalFormatting sqref="L5:L202">
    <cfRule type="expression" priority="5" aboveAverage="0" equalAverage="0" bottom="0" percent="0" rank="0" text="" dxfId="10">
      <formula>$L5="Vídeo"</formula>
    </cfRule>
  </conditionalFormatting>
  <dataValidations count="5">
    <dataValidation allowBlank="true" error="Escolha um valor da lista (aba Listas). Para criar um valor novo, inclua-o na aba Listas." errorStyle="warning" operator="between" showDropDown="false" showErrorMessage="false" showInputMessage="false" sqref="E5:E202" type="list">
      <formula1>Listas!$A$2:$A$4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L5:L202" type="list">
      <formula1>Listas!$B$2:$B$5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M5:M202" type="list">
      <formula1>Listas!$C$2:$C$5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Q5:Q202" type="list">
      <formula1>Listas!$D$2:$D$14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B5:B202" type="list">
      <formula1>Listas!$E$2:$E$13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30"/>
  </cols>
  <sheetData>
    <row r="1" customFormat="false" ht="15" hidden="false" customHeight="false" outlineLevel="0" collapsed="false">
      <c r="A1" s="12" t="s">
        <v>251</v>
      </c>
      <c r="B1" s="12" t="s">
        <v>257</v>
      </c>
      <c r="C1" s="12" t="s">
        <v>258</v>
      </c>
      <c r="D1" s="12" t="s">
        <v>262</v>
      </c>
      <c r="E1" s="12" t="s">
        <v>28</v>
      </c>
      <c r="F1" s="12" t="s">
        <v>661</v>
      </c>
    </row>
    <row r="2" customFormat="false" ht="15" hidden="false" customHeight="false" outlineLevel="0" collapsed="false">
      <c r="A2" s="13" t="s">
        <v>31</v>
      </c>
      <c r="B2" s="13" t="s">
        <v>274</v>
      </c>
      <c r="C2" s="13" t="s">
        <v>275</v>
      </c>
      <c r="D2" s="13" t="s">
        <v>546</v>
      </c>
      <c r="E2" s="13" t="s">
        <v>43</v>
      </c>
      <c r="F2" s="13" t="s">
        <v>88</v>
      </c>
    </row>
    <row r="3" customFormat="false" ht="15" hidden="false" customHeight="false" outlineLevel="0" collapsed="false">
      <c r="A3" s="13" t="s">
        <v>32</v>
      </c>
      <c r="B3" s="13" t="s">
        <v>289</v>
      </c>
      <c r="C3" s="13" t="s">
        <v>377</v>
      </c>
      <c r="D3" s="13" t="s">
        <v>329</v>
      </c>
      <c r="E3" s="13" t="s">
        <v>50</v>
      </c>
      <c r="F3" s="13" t="s">
        <v>93</v>
      </c>
    </row>
    <row r="4" customFormat="false" ht="15" hidden="false" customHeight="false" outlineLevel="0" collapsed="false">
      <c r="A4" s="13" t="s">
        <v>33</v>
      </c>
      <c r="B4" s="13" t="s">
        <v>494</v>
      </c>
      <c r="C4" s="13" t="s">
        <v>662</v>
      </c>
      <c r="D4" s="13" t="s">
        <v>663</v>
      </c>
      <c r="E4" s="13" t="s">
        <v>57</v>
      </c>
      <c r="F4" s="13" t="s">
        <v>98</v>
      </c>
    </row>
    <row r="5" customFormat="false" ht="15" hidden="false" customHeight="false" outlineLevel="0" collapsed="false">
      <c r="B5" s="13" t="s">
        <v>664</v>
      </c>
      <c r="C5" s="13" t="s">
        <v>665</v>
      </c>
      <c r="D5" s="13" t="s">
        <v>305</v>
      </c>
      <c r="E5" s="13" t="s">
        <v>666</v>
      </c>
      <c r="F5" s="13" t="s">
        <v>103</v>
      </c>
    </row>
    <row r="6" customFormat="false" ht="15" hidden="false" customHeight="false" outlineLevel="0" collapsed="false">
      <c r="D6" s="13" t="s">
        <v>412</v>
      </c>
      <c r="E6" s="13" t="s">
        <v>667</v>
      </c>
    </row>
    <row r="7" customFormat="false" ht="15" hidden="false" customHeight="false" outlineLevel="0" collapsed="false">
      <c r="D7" s="13" t="s">
        <v>279</v>
      </c>
      <c r="E7" s="13" t="s">
        <v>668</v>
      </c>
    </row>
    <row r="8" customFormat="false" ht="15" hidden="false" customHeight="false" outlineLevel="0" collapsed="false">
      <c r="D8" s="13" t="s">
        <v>669</v>
      </c>
      <c r="E8" s="13" t="s">
        <v>670</v>
      </c>
    </row>
    <row r="9" customFormat="false" ht="15" hidden="false" customHeight="false" outlineLevel="0" collapsed="false">
      <c r="D9" s="13" t="s">
        <v>292</v>
      </c>
      <c r="E9" s="13" t="s">
        <v>671</v>
      </c>
    </row>
    <row r="10" customFormat="false" ht="15" hidden="false" customHeight="false" outlineLevel="0" collapsed="false">
      <c r="D10" s="13" t="s">
        <v>672</v>
      </c>
      <c r="E10" s="13" t="s">
        <v>673</v>
      </c>
    </row>
    <row r="11" customFormat="false" ht="15" hidden="false" customHeight="false" outlineLevel="0" collapsed="false">
      <c r="D11" s="13" t="s">
        <v>674</v>
      </c>
      <c r="E11" s="13" t="s">
        <v>675</v>
      </c>
    </row>
    <row r="12" customFormat="false" ht="15" hidden="false" customHeight="false" outlineLevel="0" collapsed="false">
      <c r="D12" s="13" t="s">
        <v>676</v>
      </c>
      <c r="E12" s="13" t="s">
        <v>677</v>
      </c>
    </row>
    <row r="13" customFormat="false" ht="15" hidden="false" customHeight="false" outlineLevel="0" collapsed="false">
      <c r="D13" s="13" t="s">
        <v>678</v>
      </c>
      <c r="E13" s="13" t="s">
        <v>679</v>
      </c>
    </row>
    <row r="14" customFormat="false" ht="15" hidden="false" customHeight="false" outlineLevel="0" collapsed="false">
      <c r="D14" s="13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2026-10-08T00:15:49Z</dcterms:created>
  <dc:creator>openpyxl</dc:creator>
  <dc:description/>
  <dc:language>en-US</dc:language>
  <cp:lastModifiedBy/>
  <dcterms:modified xsi:type="dcterms:W3CDTF">2026-10-08T00:15:49Z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