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o usar" sheetId="1" state="visible" r:id="rId3"/>
    <sheet name="Visão do mês" sheetId="2" state="visible" r:id="rId4"/>
    <sheet name="Calendário" sheetId="3" state="visible" r:id="rId5"/>
    <sheet name="Formatos" sheetId="4" state="visible" r:id="rId6"/>
    <sheet name="Fontes" sheetId="5" state="visible" r:id="rId7"/>
    <sheet name="Banco de ideias" sheetId="6" state="visible" r:id="rId8"/>
    <sheet name="Linhas e personas" sheetId="7" state="visible" r:id="rId9"/>
    <sheet name="Pendências" sheetId="8" state="visible" r:id="rId10"/>
    <sheet name="Listas" sheetId="9" state="visible" r:id="rId11"/>
  </sheets>
  <definedNames>
    <definedName function="false" hidden="true" localSheetId="2" name="_xlnm._FilterDatabase" vbProcedure="false">Calendário!$A$4:$Z$80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2" authorId="0">
      <text>
        <r>
          <rPr>
            <sz val="10"/>
            <rFont val="Arial"/>
            <family val="2"/>
          </rPr>
          <t xml:space="preserve">Data proposta para começar o mês (sugestão da revisão de 08/10). Mude aqui e todas as datas sugeridas se ajustam.</t>
        </r>
      </text>
    </comment>
  </commentList>
</comments>
</file>

<file path=xl/sharedStrings.xml><?xml version="1.0" encoding="utf-8"?>
<sst xmlns="http://schemas.openxmlformats.org/spreadsheetml/2006/main" count="828" uniqueCount="578">
  <si>
    <t xml:space="preserve">Calendário editorial · Fair Health · Instagram e LinkedIn</t>
  </si>
  <si>
    <t xml:space="preserve">Versão de 09/10/2026: planejamento MENSAL (um mês por vez). A versão anterior, de 90 dias, está em marketing/arquivo/.</t>
  </si>
  <si>
    <t xml:space="preserve">O mês conta uma história</t>
  </si>
  <si>
    <t xml:space="preserve">Fio de todos os meses: "Cuidar antes". O plano de saúde trata depois; a Fair Health cuida antes, dentro da empresa, começando por uma pergunta.</t>
  </si>
  <si>
    <t xml:space="preserve">Cada mês trabalha um argumento do grupo (aba Visão do mês) e cada semana é uma cena: Abertura/Dor ("isso é comigo?"), Virada ("como a Fair Health resolve?"), Prova ("por que acreditar?") e Convite ("como começo?").</t>
  </si>
  <si>
    <t xml:space="preserve">Base: instagram/posicionamento-e-plano-mensal.md (análise da arquitetura de marcas e do posicionamento v3.2).</t>
  </si>
  <si>
    <t xml:space="preserve">Restrições em vigor (09/10)</t>
  </si>
  <si>
    <t xml:space="preserve">1. Não apresentamos o time por enquanto (questão administrativa). A série Quem cuida está na aba Banco de ideias, com status Adiada.</t>
  </si>
  <si>
    <t xml:space="preserve">2. Não filmamos clientes: nada gravado dentro das empresas-clientes nem com pessoas atendidas. Os vídeos do mês são de tipografia, motion, gravação de tela ou imagem de banco (aba Formatos).</t>
  </si>
  <si>
    <t xml:space="preserve">3. O artigo do cofundador Fernando Brancaccio na RH Pra Você (25/09/2026) entra como peça de autoridade, sem foto e sem apresentação do time.</t>
  </si>
  <si>
    <t xml:space="preserve">Como trabalhamos nesta planilha</t>
  </si>
  <si>
    <t xml:space="preserve">1. Revisão mensal (conjunta): antes de o mês começar, revisamos temas, títulos, personas e datas. Pauta aprovada muda de "Pauta proposta" para "Pauta aprovada". Ao fim do mês, montamos o próximo a partir do Banco de ideias.</t>
  </si>
  <si>
    <t xml:space="preserve">2. Detalhamento semanal: a cada semana, detalhamos texto, roteiro e criativo das peças da semana seguinte e passamos pela validação. A semana 1 já está detalhada.</t>
  </si>
  <si>
    <t xml:space="preserve">3. Comentários: use a coluna "Comentários da revisão" ou comentários de célula. Não apague pautas descartadas: mude o status para "Descartada".</t>
  </si>
  <si>
    <t xml:space="preserve">4. Datas: a data de início (célula amarela na aba Calendário) recalcula todas as datas sugeridas. Para mudar uma data só, digite a nova data por cima.</t>
  </si>
  <si>
    <t xml:space="preserve">Cadência proposta (a validar)</t>
  </si>
  <si>
    <t xml:space="preserve">4 publicações por semana no feed, alternando vídeo e estático/carrossel (2 vídeos por semana). As três linhas editoriais entram em rodízio: duas peças seguidas nunca são da mesma linha.</t>
  </si>
  <si>
    <t xml:space="preserve">Os dias da semana NÃO estão definidos: as datas são uma distribuição sugerida (evitando feriados nacionais). Stories ficam fora da contagem e servem de apoio: link do artigo, caixa de perguntas, repost.</t>
  </si>
  <si>
    <t xml:space="preserve">Marcações</t>
  </si>
  <si>
    <t xml:space="preserve">[PENDENTE] = informação que ainda precisa ser confirmada. [SUGESTÃO] = posição ou texto proposto que precisa de aprovação.</t>
  </si>
  <si>
    <t xml:space="preserve">Coluna "Validação necessária": tudo o que precisa de aval antes de publicar. Afirmações clínicas, benefícios, prazos e resultados passam pela responsável médica.</t>
  </si>
  <si>
    <t xml:space="preserve">Só usamos números liberados e com fonte (aba Fontes). Números do posicionamento sem fonte (23%, R$ 2.400, burnout) ficam de fora.</t>
  </si>
  <si>
    <t xml:space="preserve">Fluxo de status</t>
  </si>
  <si>
    <t xml:space="preserve">Ideia → Pauta proposta → Pauta aprovada → Aguardando material → Roteiro pronto → Em produção → Em revisão → Validação médica → Aprovado → Agendado → Publicado (ou Descartada / Aguardando pauta / Adiada)</t>
  </si>
  <si>
    <t xml:space="preserve">Abas</t>
  </si>
  <si>
    <t xml:space="preserve">Visão do mês: argumento, a história semana a semana e o equilíbrio do mês (contagens automáticas).</t>
  </si>
  <si>
    <t xml:space="preserve">Calendário: as 16 pautas do mês, uma por linha, com Argumento, Cena, Persona e "Por que este formato".</t>
  </si>
  <si>
    <t xml:space="preserve">Formatos: os formatos usados no mês, por que funcionam e o que cada um precisa para ser produzido sem time em cena e sem gravar nas empresas.</t>
  </si>
  <si>
    <t xml:space="preserve">Fontes: o artigo do cofundador, os números liberados e o que não usar.</t>
  </si>
  <si>
    <t xml:space="preserve">Banco de ideias: o que ficou para depois (com o motivo) e os temas dos próximos meses.</t>
  </si>
  <si>
    <t xml:space="preserve">Linhas e personas · Pendências · Listas (valores das listas suspensas).</t>
  </si>
  <si>
    <t xml:space="preserve">Visão do mês: o capítulo e o equilíbrio</t>
  </si>
  <si>
    <t xml:space="preserve">Primeiro nível do planejamento. As contagens são automáticas e servem para a checagem de equilíbrio na revisão mensal.</t>
  </si>
  <si>
    <t xml:space="preserve">Mês</t>
  </si>
  <si>
    <t xml:space="preserve">Mês 1</t>
  </si>
  <si>
    <t xml:space="preserve">Período</t>
  </si>
  <si>
    <t xml:space="preserve">Capítulo</t>
  </si>
  <si>
    <t xml:space="preserve">"Tudo começa com uma pergunta": quem somos, por que cuidar antes e como o cuidado funciona.</t>
  </si>
  <si>
    <t xml:space="preserve">Argumento principal</t>
  </si>
  <si>
    <t xml:space="preserve">Liderança Bem-Estar, com a apresentação da marca. A NR-1 entra como contexto (artigo do cofundador) e abre o próximo mês.</t>
  </si>
  <si>
    <t xml:space="preserve">Mensagem do mês</t>
  </si>
  <si>
    <t xml:space="preserve">Todo afastamento tem um antes. A Fair Health cuida nesse antes: dentro da empresa, com gente de verdade, começando por uma pergunta.</t>
  </si>
  <si>
    <t xml:space="preserve">Frase-tese</t>
  </si>
  <si>
    <t xml:space="preserve">Não é benefício. É infraestrutura de cuidado.</t>
  </si>
  <si>
    <t xml:space="preserve">Restrições</t>
  </si>
  <si>
    <t xml:space="preserve">Sem apresentar o time (questão administrativa) e sem filmar clientes. Vídeos de tipografia, motion, gravação de tela ou imagem de banco.</t>
  </si>
  <si>
    <t xml:space="preserve">Datas do calendário</t>
  </si>
  <si>
    <t xml:space="preserve">02/11 feriado (Finados): a semana 3 começa na terça. 14/11 (sábado) Dia Mundial do Diabetes: avaliar um stories com a responsável médica. Novembro Azul: só se houver conexão real.</t>
  </si>
  <si>
    <t xml:space="preserve">A história semana a semana</t>
  </si>
  <si>
    <t xml:space="preserve">Semana</t>
  </si>
  <si>
    <t xml:space="preserve">Cena</t>
  </si>
  <si>
    <t xml:space="preserve">Pergunta que responde</t>
  </si>
  <si>
    <t xml:space="preserve">Peças (IDs)</t>
  </si>
  <si>
    <t xml:space="preserve">Total</t>
  </si>
  <si>
    <t xml:space="preserve">Vídeos</t>
  </si>
  <si>
    <t xml:space="preserve">Institucional</t>
  </si>
  <si>
    <t xml:space="preserve">Produto</t>
  </si>
  <si>
    <t xml:space="preserve">Projetos</t>
  </si>
  <si>
    <t xml:space="preserve">Abertura e Dor</t>
  </si>
  <si>
    <t xml:space="preserve">"Isso é comigo?" A marca se apresenta e o RH se reconhece no problema.</t>
  </si>
  <si>
    <t xml:space="preserve">M1-01 a M1-04</t>
  </si>
  <si>
    <t xml:space="preserve">Virada</t>
  </si>
  <si>
    <t xml:space="preserve">"Como a Fair Health resolve?" Método, tese e o que o RH recebe.</t>
  </si>
  <si>
    <t xml:space="preserve">M1-05 a M1-08</t>
  </si>
  <si>
    <t xml:space="preserve">Prova</t>
  </si>
  <si>
    <t xml:space="preserve">"Por que acreditar?" Adesão, acompanhamento, origem e autoridade.</t>
  </si>
  <si>
    <t xml:space="preserve">M1-09 a M1-12</t>
  </si>
  <si>
    <t xml:space="preserve">Convite</t>
  </si>
  <si>
    <t xml:space="preserve">"Como começo?" Para o colaborador, o líder e o RH; abre o tema NR-1.</t>
  </si>
  <si>
    <t xml:space="preserve">M1-13 a M1-16</t>
  </si>
  <si>
    <t xml:space="preserve">Equilíbrio por argumento e por cena</t>
  </si>
  <si>
    <t xml:space="preserve">Argumento</t>
  </si>
  <si>
    <t xml:space="preserve">Peças</t>
  </si>
  <si>
    <t xml:space="preserve">Pautas com validação médica</t>
  </si>
  <si>
    <t xml:space="preserve">Apresentação</t>
  </si>
  <si>
    <t xml:space="preserve">Abertura</t>
  </si>
  <si>
    <t xml:space="preserve">Liderança Bem-Estar</t>
  </si>
  <si>
    <t xml:space="preserve">Dor</t>
  </si>
  <si>
    <t xml:space="preserve">NR-1</t>
  </si>
  <si>
    <t xml:space="preserve">Stop Loss</t>
  </si>
  <si>
    <t xml:space="preserve">Ambiente positivo</t>
  </si>
  <si>
    <t xml:space="preserve">Marca empregadora</t>
  </si>
  <si>
    <t xml:space="preserve">Calendário editorial · Fair Health · Mês 1</t>
  </si>
  <si>
    <t xml:space="preserve">Início do mês (segunda-feira):</t>
  </si>
  <si>
    <t xml:space="preserve">Mude a data amarela para reposicionar o mês. Os dias da semana são só sugestão.</t>
  </si>
  <si>
    <t xml:space="preserve">ID</t>
  </si>
  <si>
    <t xml:space="preserve">Data sugerida</t>
  </si>
  <si>
    <t xml:space="preserve">Linha editorial</t>
  </si>
  <si>
    <t xml:space="preserve">Tema</t>
  </si>
  <si>
    <t xml:space="preserve">Série (parte)</t>
  </si>
  <si>
    <t xml:space="preserve">Título provisório</t>
  </si>
  <si>
    <t xml:space="preserve">Persona</t>
  </si>
  <si>
    <t xml:space="preserve">Necessidade ou pergunta da persona</t>
  </si>
  <si>
    <t xml:space="preserve">Objetivo</t>
  </si>
  <si>
    <t xml:space="preserve">Formato</t>
  </si>
  <si>
    <t xml:space="preserve">Por que este formato</t>
  </si>
  <si>
    <t xml:space="preserve">Canal</t>
  </si>
  <si>
    <t xml:space="preserve">Collab / perfis</t>
  </si>
  <si>
    <t xml:space="preserve">Mensagem principal</t>
  </si>
  <si>
    <t xml:space="preserve">Fonte</t>
  </si>
  <si>
    <t xml:space="preserve">Validação necessária</t>
  </si>
  <si>
    <t xml:space="preserve">Status</t>
  </si>
  <si>
    <t xml:space="preserve">Texto / legenda</t>
  </si>
  <si>
    <t xml:space="preserve">Roteiro / estrutura</t>
  </si>
  <si>
    <t xml:space="preserve">Criativo (modelo e arte)</t>
  </si>
  <si>
    <t xml:space="preserve">Responsável</t>
  </si>
  <si>
    <t xml:space="preserve">Comentários da revisão</t>
  </si>
  <si>
    <t xml:space="preserve">M1-01</t>
  </si>
  <si>
    <t xml:space="preserve">Apresentação da Fair Health</t>
  </si>
  <si>
    <t xml:space="preserve">Antes de qualquer exame, uma conversa</t>
  </si>
  <si>
    <t xml:space="preserve">Colaboradores; RH</t>
  </si>
  <si>
    <t xml:space="preserve">O que é a Fair Health e o que ela faz dentro da empresa?</t>
  </si>
  <si>
    <t xml:space="preserve">Apresentar a marca e o jeito de cuidar</t>
  </si>
  <si>
    <t xml:space="preserve">Vídeo</t>
  </si>
  <si>
    <t xml:space="preserve">Vídeo de abertura com a pergunta da marca: apresenta em 30 s o que é, onde fica e como começa. Texto na tela para quem assiste sem som.</t>
  </si>
  <si>
    <t xml:space="preserve">Instagram + LinkedIn</t>
  </si>
  <si>
    <t xml:space="preserve">FairJob</t>
  </si>
  <si>
    <t xml:space="preserve">A Fair Health leva o cuidado para dentro da empresa, e todo cuidado começa com uma pergunta: o que é importante para você?</t>
  </si>
  <si>
    <t xml:space="preserve">Posicionamento Fair Health v3.2 (promessa e pergunta).</t>
  </si>
  <si>
    <t xml:space="preserve">Roteiro e legenda citam assistentes sociais: confirmar se fazem parte do atendimento (o posicionamento cita médico e psicológico). Sem time em cena e sem gravar nas empresas-clientes (decisão de 09/10). Definir onde gravar (local próprio ou neutro) ou montar com fotos e tipografia.</t>
  </si>
  <si>
    <t xml:space="preserve">Roteiro pronto</t>
  </si>
  <si>
    <t xml:space="preserve">Antes de qualquer exame, uma conversa.
Esse é o Escritório do Cuidado: um espaço dentro da empresa, com médicos, psicólogos e assistentes sociais, perto de quem trabalha.
Aqui, todo cuidado começa com a mesma pergunta: o que é importante para você? A partir da resposta, montamos juntos um plano que cabe na sua rotina e seguimos acompanhando.
Seja bem-vindo. Nos próximos dias, a gente mostra como esse cuidado funciona.
#fairhealth #saudecorporativa #cuidadocentradonapessoa #medicinadoestilodevida #saudedotrabalhador</t>
  </si>
  <si>
    <t xml:space="preserve">Reel de 30 a 34 s (instagram/primeiros-posts-acolhimento.md, ID 1).
0–3 s: "Antes de qualquer exame, a gente começa com uma conversa." Porta se abrindo.
3–9 s: o espaço (recepção, copa, sala), sem pessoas.
9–16 s: detalhes que acolhem: mãos servindo café, cadeira puxada, sem rosto.
16–23 s: a pergunta "O que é importante para você?" aparece na tela, em voz em off.
23–30 s: a partir da resposta, um cuidado que cabe na rotina.
30–34 s: logo e assinatura.</t>
  </si>
  <si>
    <t xml:space="preserve">Vídeo 1080x1920. Texto na tela dentro da área segura. Capa no modelo M1 (Tiffany, pergunta), conferindo o recorte da grade. LinkedIn: mesmo vídeo, legenda adaptada para RH.</t>
  </si>
  <si>
    <t xml:space="preserve">Aprovado na revisão de 09/10. Ajustes pelas restrições de 09/10: a legenda não promete mais apresentar o time ("você vai conhecer quem cuida" virou "a gente mostra como esse cuidado funciona") e, no roteiro, a pergunta entra na tela em voz em off (antes cada integrante dizia um pedaço).</t>
  </si>
  <si>
    <t xml:space="preserve">M1-02</t>
  </si>
  <si>
    <t xml:space="preserve">Escritório do Cuidado</t>
  </si>
  <si>
    <t xml:space="preserve">Como funciona o cuidado (1/3): o percurso</t>
  </si>
  <si>
    <t xml:space="preserve">Aqui, o cuidado começa com uma pergunta</t>
  </si>
  <si>
    <t xml:space="preserve">Colaboradores</t>
  </si>
  <si>
    <t xml:space="preserve">O que acontece quando eu vou ao Escritório do Cuidado? Vou ser julgado? O que eu contar fica entre nós?</t>
  </si>
  <si>
    <t xml:space="preserve">Explicar o percurso do atendimento e reduzir a barreira de ir</t>
  </si>
  <si>
    <t xml:space="preserve">Carrossel</t>
  </si>
  <si>
    <t xml:space="preserve">Carrossel passo a passo: o formato mais salvo em conteúdo explicativo. Responde as objeções (julgamento, sigilo) uma por slide.</t>
  </si>
  <si>
    <t xml:space="preserve">Primeiro a gente te ouve e entende sua rotina; depois monta o plano com você e acompanha. O que você conta fica entre você e quem cuida.</t>
  </si>
  <si>
    <t xml:space="preserve">Cartilha do Escritório do Cuidado.</t>
  </si>
  <si>
    <t xml:space="preserve">Responsável médica confere as etapas citadas (anamnese, bioimpedância, smartband por 48 horas, retorno).</t>
  </si>
  <si>
    <t xml:space="preserve">Em revisão</t>
  </si>
  <si>
    <t xml:space="preserve">Aqui, o cuidado começa com uma pergunta: o que é importante para você?
Antes de exame, antes de número, a gente quer saber da sua rotina, do seu trabalho, do que anda pesando e do que você gostaria de mudar.
O Escritório do Cuidado fica dentro da empresa, perto de onde você já está. Lá, médicos e psicólogos se revezam para montar com você um cuidado que caiba na sua vida, com base na Medicina do Estilo de Vida.
O objetivo da fairhealth é melhorar a qualidade de vida de quem trabalha, com um cuidado feito para cada pessoa e acompanhado de perto.
E o que você conta fica entre você e quem cuida.
Arrasta para o lado para ver como funciona.
#fairhealth #saudecorporativa #cuidadocentradonapessoa #medicinadoestilodevida #saudedotrabalhador</t>
  </si>
  <si>
    <t xml:space="preserve">10 slides: 1 capa (pergunta) · 2 fica dentro da empresa · 3 gente que cuida de gente · 4 Passo 1: a gente te conhece · 5 Passo 2: o que é importante para você? · 6 Passo 3: entender antes de propor (bioimpedância e smartband por 48 h) · 7 Passo 4: o plano é seu · 8 Passo 5: retorno e acompanhamento · 9 sigilo · 10 convite para comentar.</t>
  </si>
  <si>
    <t xml:space="preserve">Arte no Canva (design DAHW6JfDldU, 11 páginas): escolher entre as versões originais e as novas dos slides 1, 5, 7, 9 e 10. Modelos M1, M2 e M3. LinkedIn: exportar em PDF.</t>
  </si>
  <si>
    <t xml:space="preserve">Conferir o slide 3 ("gente que cuida de gente"): não pode ter foto ou nome de integrante do time.</t>
  </si>
  <si>
    <t xml:space="preserve">M1-03</t>
  </si>
  <si>
    <t xml:space="preserve">Cuidar antes (manifesto)</t>
  </si>
  <si>
    <t xml:space="preserve">Antes do afastamento, teve um sinal</t>
  </si>
  <si>
    <t xml:space="preserve">RH; Lideranças</t>
  </si>
  <si>
    <t xml:space="preserve">Por que as pessoas só aparecem quando já estão doentes ou afastadas?</t>
  </si>
  <si>
    <t xml:space="preserve">Plantar o fio do mês ("cuidar antes") e fazer o RH se reconhecer na dor</t>
  </si>
  <si>
    <t xml:space="preserve">Reel de tipografia animada: não depende de filmagem nem de rosto, o gancho está na primeira frase e a cadeia do "antes" prende até o fim. Fácil de adaptar para o LinkedIn.</t>
  </si>
  <si>
    <t xml:space="preserve">Todo afastamento tem um antes. A Fair Health cuida nesse antes, dentro da empresa, começando por uma pergunta.</t>
  </si>
  <si>
    <t xml:space="preserve">Posicionamento Fair Health v3.2 (eixo "antes", dores de entrada do RH).</t>
  </si>
  <si>
    <t xml:space="preserve">Sem números e sem promessa de evitar doença (CFM): o texto fala de cuidado, não de resultado.</t>
  </si>
  <si>
    <t xml:space="preserve">Pauta proposta</t>
  </si>
  <si>
    <t xml:space="preserve">Antes do afastamento, teve um atestado.
Antes do atestado, teve uma semana pesada.
Antes da semana pesada, teve uma noite sem dormir.
E antes de tudo isso, ninguém perguntou: o que é importante para você?
A Fair Health existe para cuidar nesse antes. Dentro da empresa, perto de quem trabalha, com médicos e psicólogos e um plano feito para cada pessoa.
Cuidar antes também é papel da liderança. Na sua empresa, quem faz essa pergunta?
#fairhealth #saudecorporativa #cuidadocentradonapessoa #medicinadoestilodevida #saudedotrabalhador</t>
  </si>
  <si>
    <t xml:space="preserve">Reel de 18 a 22 s, só tipografia sobre o fundo Tiffany, frase a frase, com corte seco.
0–3 s: "Antes do afastamento, teve um atestado."
3–6 s: "Antes do atestado, teve uma semana pesada."
6–9 s: "Antes da semana pesada, uma noite sem dormir."
9–14 s: "E antes de tudo isso, ninguém perguntou:"
14–18 s: "O que é importante para você?" (palavra-chave em destaque)
18–22 s: "Cuidar antes." + logo.
Trilha calma, sem locução (ou voz em off opcional).</t>
  </si>
  <si>
    <t xml:space="preserve">Modelo M9 (vídeo) só com tipografia Raleway. Capa: "Antes do afastamento, teve um sinal". Sem imagem de banco.</t>
  </si>
  <si>
    <t xml:space="preserve">M1-04</t>
  </si>
  <si>
    <t xml:space="preserve">Projetos, eventos e entregas</t>
  </si>
  <si>
    <t xml:space="preserve">Na imprensa: artigo do cofundador</t>
  </si>
  <si>
    <t xml:space="preserve">Saúde mental é de todos (1/2)</t>
  </si>
  <si>
    <t xml:space="preserve">O trabalho não é o único vilão</t>
  </si>
  <si>
    <t xml:space="preserve">RH; Lideranças; Risco e Compliance</t>
  </si>
  <si>
    <t xml:space="preserve">A NR-1 colocou os riscos psicossociais na conta da empresa. O que é responsabilidade da empresa e o que não é?</t>
  </si>
  <si>
    <t xml:space="preserve">Trazer a NR-1 com uma visão madura e transferir a autoridade da publicação para a marca</t>
  </si>
  <si>
    <t xml:space="preserve">Carrossel-resumo de artigo publicado: formato muito compartilhado entre profissionais de RH. Leva a autoridade do veículo (RH Pra Você) e do autor sem precisar apresentar o time.</t>
  </si>
  <si>
    <t xml:space="preserve">FairJob; Fernando Brancaccio (se quiser); RH Pra Você (marcar)</t>
  </si>
  <si>
    <t xml:space="preserve">A NR-1 formalizou que o trabalho pode adoecer, e a empresa responde pelo ambiente que constrói. Mas saúde mental é multifatorial: é, ao mesmo tempo, de cada um e de todos.</t>
  </si>
  <si>
    <t xml:space="preserve">Fernando Brancaccio, "Riscos psicossociais no ambiente de trabalho e saúde", RH Pra Você, 25/09/2026. https://rhpravoce.com.br/colab/riscos-psicossociais-no-ambiente-de-trabalho-2</t>
  </si>
  <si>
    <t xml:space="preserve">Confirmar como creditar o Fernando (o artigo diz "fundador da FairJob"; aqui ele é cofundador da Fair Health). Peça é sobre a opinião publicada, não apresentação do time: sem foto dele, a menos que se decida o contrário. Conferir as citações literais com o artigo.</t>
  </si>
  <si>
    <t xml:space="preserve">O trabalho pode adoecer. Mas não é o único vilão.
Desde maio de 2026, a NR-1 exige que as empresas identifiquem, avaliem e gerenciem os riscos psicossociais. É um avanço necessário: assédio, excesso de pressão, jornadas inadequadas e lideranças despreparadas têm impacto real na saúde mental.
No artigo que publicou na RH Pra Você, nosso cofundador Fernando Brancaccio propõe ampliar o debate: ninguém começa a vida quando é contratado. Família, escola, comunidade e condições de vida chegam ao trabalho junto com a pessoa.
Isso não diminui a responsabilidade da empresa. Ela responde pelo ambiente que constrói. Mas não controla todas as variáveis.
"Saúde mental é, ao mesmo tempo, de cada um e de todos."
O artigo completo está no link dos stories. Concorda? Conta pra gente nos comentários.
#fairhealth #nr1 #riscospsicossociais #saudementalnotrabalho #rh</t>
  </si>
  <si>
    <t xml:space="preserve">8 slides.
1 Capa: "O trabalho pode adoecer. Mas não é o único vilão." + selo "RH Pra Você".
2 Desde maio de 2026, a NR-1 exige identificar, avaliar e gerenciar os riscos psicossociais.
3 É um avanço necessário: ambientes tóxicos, assédio, excesso de pressão, jornadas inadequadas, insegurança e lideranças despreparadas adoecem.
4 "Nenhuma pessoa começa sua vida quando é contratada por uma empresa."
5 A empresa responde pelo ambiente que constrói. Não controla todas as variáveis.
6 Responsabilidade compartilhada: poder público, sociedade, empresas e cada pessoa (sem culpar quem adoece).
7 "Saúde mental é, ao mesmo tempo, de cada um e de todos." Fernando Brancaccio.
8 A parte da empresa começa antes: um cuidado dentro do trabalho, que começa com uma pergunta. Link nos stories.</t>
  </si>
  <si>
    <t xml:space="preserve">Modelo M8 (citação) nos slides 4 e 7 e M2 nos demais. Sem foto. Stories no mesmo dia com o link do artigo.</t>
  </si>
  <si>
    <t xml:space="preserve">M1-05</t>
  </si>
  <si>
    <t xml:space="preserve">Medicina do Estilo de Vida</t>
  </si>
  <si>
    <t xml:space="preserve">Pilares da MEV (abertura)</t>
  </si>
  <si>
    <t xml:space="preserve">Medicina do Estilo de Vida em 1 minuto</t>
  </si>
  <si>
    <t xml:space="preserve">O que é Medicina do Estilo de Vida? É dieta? É academia?</t>
  </si>
  <si>
    <t xml:space="preserve">Apresentar a base científica do cuidado e abrir a série dos pilares</t>
  </si>
  <si>
    <t xml:space="preserve">Explicador animado com ícones (motion): conceito novo explicado em 1 minuto, sem rosto. Responde ao mito "é só dieta e academia".</t>
  </si>
  <si>
    <t xml:space="preserve">Os pilares não funcionam isoladamente: o plano olha para a pessoa inteira, a partir da rotina real.</t>
  </si>
  <si>
    <t xml:space="preserve">ACLM (American College of Lifestyle Medicine) e CBMEV (Colégio Brasileiro de Medicina do Estilo de Vida); cartilha do Escritório do Cuidado.</t>
  </si>
  <si>
    <t xml:space="preserve">Responsável médica valida a definição de MEV e os nomes dos pilares (6 ou 7: decidir antes de produzir).</t>
  </si>
  <si>
    <t xml:space="preserve">Reel de 45 a 60 s, motion com ícones, voz em off.
0–3 s: "Medicina do Estilo de Vida é dieta e academia? Não só."
3–10 s: definição curta, com fonte na tela.
10–40 s: um ícone por pilar, uma frase por pilar.
40–50 s: "Os pilares conversam entre si: o plano olha para a pessoa inteira."
50–60 s: "No Escritório do Cuidado, começa com uma pergunta." + logo.</t>
  </si>
  <si>
    <t xml:space="preserve">Modelo M9 com ícones lineares em verde-escuro sobre Tiffany. Etiqueta "PILARES".</t>
  </si>
  <si>
    <t xml:space="preserve">M1-06</t>
  </si>
  <si>
    <t xml:space="preserve">Tese da marca</t>
  </si>
  <si>
    <t xml:space="preserve">RH; RI e C-Level</t>
  </si>
  <si>
    <t xml:space="preserve">Isso é mais um benefício para a lista? Por que seria diferente do que já temos?</t>
  </si>
  <si>
    <t xml:space="preserve">Fixar a frase-tese e posicionar a categoria sem citar concorrentes</t>
  </si>
  <si>
    <t xml:space="preserve">Carrossel comparativo de duas colunas (isto × aquilo): a diferença fica clara em segundos e o post é salvo e repassado ao decisor.</t>
  </si>
  <si>
    <t xml:space="preserve">Benefício é algo que a pessoa usa se lembrar. Infraestrutura de cuidado está dentro da empresa todo dia, começa antes do problema e tem gente acompanhando.</t>
  </si>
  <si>
    <t xml:space="preserve">Posicionamento Fair Health v3.2 (diferenciais).</t>
  </si>
  <si>
    <t xml:space="preserve">Não citar marcas de terceiros nem operadoras. Sem números.</t>
  </si>
  <si>
    <t xml:space="preserve">6 slides.
1 Capa: "Não é benefício. É infraestrutura de cuidado."
2 Benefício: a pessoa usa se lembrar. Infraestrutura: está lá todo dia, dentro da empresa.
3 Benefício: espera o problema aparecer. Infraestrutura: começa antes.
4 Benefício: é um cartão. Infraestrutura: é gente acompanhando, com um plano para cada pessoa.
5 Benefício: termina na adesão. Infraestrutura: o RH acompanha o cuidado por indicadores do grupo.
6 "O que é importante para você?" Comente CUIDADO para saber como funciona.</t>
  </si>
  <si>
    <t xml:space="preserve">Modelo M1 na capa e comparativo em duas colunas (Tiffany × verde-escuro) nos slides 2 a 5.</t>
  </si>
  <si>
    <t xml:space="preserve">M1-07</t>
  </si>
  <si>
    <t xml:space="preserve">Entregas para o RH</t>
  </si>
  <si>
    <t xml:space="preserve">Tecnologia a favor da pessoa</t>
  </si>
  <si>
    <t xml:space="preserve">O que o RH vê (e o que não vê)</t>
  </si>
  <si>
    <t xml:space="preserve">RH; Risco e Compliance</t>
  </si>
  <si>
    <t xml:space="preserve">O que eu recebo para acompanhar o programa? Vou ver dados individuais?</t>
  </si>
  <si>
    <t xml:space="preserve">Mostrar a entrega para a empresa e a regra de privacidade</t>
  </si>
  <si>
    <t xml:space="preserve">Gravação de tela de um painel genérico, com texto na tela: mostra o produto de verdade sem expor ninguém e responde a dúvida que trava a decisão do RH.</t>
  </si>
  <si>
    <t xml:space="preserve">FairJob; fairdata</t>
  </si>
  <si>
    <t xml:space="preserve">O RH acompanha o cuidado por indicadores do grupo, anonimizados e integrados à fairdata. O que cada pessoa conta fica no atendimento.</t>
  </si>
  <si>
    <t xml:space="preserve">Posicionamento Fair Health v3.2 (fairdata).</t>
  </si>
  <si>
    <t xml:space="preserve">Time confirma quais indicadores entram no relatório. Painel com dados fictícios e aviso "dados ilustrativos". Não prometer conformidade com a NR-1.</t>
  </si>
  <si>
    <t xml:space="preserve">Reel de 25 a 30 s, gravação de tela.
0–3 s: "O que o RH vê no Escritório do Cuidado?"
3–15 s: rolagem pelo painel (adesão, retorno, temas mais procurados), dados ilustrativos.
15–22 s: "O que o RH não vê: o que cada pessoa contou."
22–30 s: "Indicadores do grupo para cuidar antes." + logo.</t>
  </si>
  <si>
    <t xml:space="preserve">Modelo M9. Painel montado com dados fictícios, moldura de navegador ou de notebook.</t>
  </si>
  <si>
    <t xml:space="preserve">M1-08</t>
  </si>
  <si>
    <t xml:space="preserve">Plano Individualizado de Cuidado</t>
  </si>
  <si>
    <t xml:space="preserve">Como funciona o cuidado (2/3): o plano</t>
  </si>
  <si>
    <t xml:space="preserve">O plano é seu: como nasce o Plano Individualizado de Cuidado</t>
  </si>
  <si>
    <t xml:space="preserve">Vou receber uma lista de regras impossíveis de seguir?</t>
  </si>
  <si>
    <t xml:space="preserve">Explicar como o plano é montado com a pessoa (decisão compartilhada)</t>
  </si>
  <si>
    <t xml:space="preserve">Carrossel com card de interface (M3), já testado no carrossel de acolhimento: mostra o plano como algo concreto e possível.</t>
  </si>
  <si>
    <t xml:space="preserve">O plano parte do que é importante para você e da sua rotina real, com ações nos pilares da MEV, e muda quando a vida muda.</t>
  </si>
  <si>
    <t xml:space="preserve">Responsável médica valida etapas e prazos. Nome único do plano: "Plano Individualizado de Cuidado" ou "Plano de Cuidado Personalizado"?</t>
  </si>
  <si>
    <t xml:space="preserve">7 slides: 1 capa "O plano é seu" · 2 começa pelo que é importante para você · 3 card do plano com 3 ações pequenas · 4 cabe na rotina real · 5 muda quando a vida muda · 6 alguém acompanha · 7 convite para comentar.</t>
  </si>
  <si>
    <t xml:space="preserve">Modelo M3 (card de interface do plano).</t>
  </si>
  <si>
    <t xml:space="preserve">M1-09</t>
  </si>
  <si>
    <t xml:space="preserve">Adesão (número liberado)</t>
  </si>
  <si>
    <t xml:space="preserve">Uma indústria, um semestre: 98% de adesão</t>
  </si>
  <si>
    <t xml:space="preserve">RH; Diretoria financeira</t>
  </si>
  <si>
    <t xml:space="preserve">Programa de saúde que ninguém usa é custo. As pessoas usam isso de verdade?</t>
  </si>
  <si>
    <t xml:space="preserve">Provar adesão com número liberado, sem argumento financeiro</t>
  </si>
  <si>
    <t xml:space="preserve">Dado animado com fonte: número grande, uma frase de contexto. É a prova que o RH leva para a diretoria.</t>
  </si>
  <si>
    <t xml:space="preserve">No 1º semestre de 2026, numa indústria atendida: 161 atendimentos, 48 colaboradores atendidos (98% de adesão) e 81,3% voltaram para dois ou mais atendimentos.</t>
  </si>
  <si>
    <t xml:space="preserve">Chemitec, 1º semestre de 2026 (número liberado, instagram/voice.md). Sempre agregado.</t>
  </si>
  <si>
    <t xml:space="preserve">Decisão de 01/10 deixava números para depois da estreia: adesão não é retorno financeiro, mas confirmar se pode entrar no Mês 1. Citar a Chemitec pelo nome só com autorização (senão, "uma indústria").</t>
  </si>
  <si>
    <t xml:space="preserve">Reel de 15 a 20 s, números animados.
0–3 s: "As pessoas usam?"
3–8 s: 98% (de adesão)
8–13 s: 81,3% voltaram para dois ou mais atendimentos
13–17 s: 161 atendimentos em um semestre
17–20 s: fonte na tela + "Cuidado que as pessoas procuram." + logo.</t>
  </si>
  <si>
    <t xml:space="preserve">Modelo M6 (dado com fonte) animado, um número por cena.</t>
  </si>
  <si>
    <t xml:space="preserve">M1-10</t>
  </si>
  <si>
    <t xml:space="preserve">Tecnologia: wearables</t>
  </si>
  <si>
    <t xml:space="preserve">Como funciona o cuidado (3/3): o acompanhamento</t>
  </si>
  <si>
    <t xml:space="preserve">O cuidado não para quando a consulta acaba</t>
  </si>
  <si>
    <t xml:space="preserve">Para que serve a pulseira? Vão me vigiar?</t>
  </si>
  <si>
    <t xml:space="preserve">Explicar o acompanhamento com tecnologia e a regra de privacidade</t>
  </si>
  <si>
    <t xml:space="preserve">Carrossel explicativo com a objeção no título ("vão me vigiar?"): responde a dúvida mais comum antes que ela vire resistência.</t>
  </si>
  <si>
    <t xml:space="preserve">A smartband e a bioimpedância ajudam a olhar, junto com a pessoa, como foram as últimas semanas. Os dados ficam no atendimento; o RH vê só o grupo.</t>
  </si>
  <si>
    <t xml:space="preserve">[PENDENTE] Quais dados a smartband registra e se todos os atendidos usam a pulseira (instagram/posts/wearables/README.md).</t>
  </si>
  <si>
    <t xml:space="preserve">Arte pronta em instagram/posts/wearables (8 slides). Capa: foto de pulso sem rosto (modelo com autorização, fora das empresas-clientes) ou capa só tipográfica.</t>
  </si>
  <si>
    <t xml:space="preserve">M1-11</t>
  </si>
  <si>
    <t xml:space="preserve">Origem</t>
  </si>
  <si>
    <t xml:space="preserve">Tudo começou num hospital</t>
  </si>
  <si>
    <t xml:space="preserve">RH; Medicina do Trabalho</t>
  </si>
  <si>
    <t xml:space="preserve">De onde vem esse modelo? É só mais um programa de bem-estar?</t>
  </si>
  <si>
    <t xml:space="preserve">Dar lastro à marca com a história do modelo</t>
  </si>
  <si>
    <t xml:space="preserve">Linha do tempo animada (ano grande + uma frase): história de origem gera confiança e não precisa mostrar pessoas.</t>
  </si>
  <si>
    <t xml:space="preserve">O modelo nasceu em 2009, num hospital, para colocar o paciente no centro do cuidado. Hoje, coloca quem trabalha no centro, dentro da empresa.</t>
  </si>
  <si>
    <t xml:space="preserve">Histórico do Escritório do Paciente (2009); caso Hospital Dia Santo Amaro (liberado).</t>
  </si>
  <si>
    <t xml:space="preserve">[PENDENTE] Quem idealizou o Escritório do Paciente. Não usar "validado no SUS" até confirmar a fonte. Conferir datas.</t>
  </si>
  <si>
    <t xml:space="preserve">Reel de 25 a 30 s, linha do tempo em tipografia.
0–3 s: "Tudo começou num hospital."
3–10 s: 2009: Escritório do Paciente, o paciente no centro.
10–18 s: o que o hospital aprendeu: ouvir antes de propor.
18–25 s: hoje: o Escritório do Cuidado, dentro da empresa.
25–30 s: "Mesma pergunta: o que é importante para você?" + logo.
Alternativa: carrossel no modelo M2.</t>
  </si>
  <si>
    <t xml:space="preserve">Modelo M9 com marcos da linha do tempo (modelo M2 animado). Sem fotos de pessoas.</t>
  </si>
  <si>
    <t xml:space="preserve">M1-12</t>
  </si>
  <si>
    <t xml:space="preserve">Saúde mental é de todos (2/2)</t>
  </si>
  <si>
    <t xml:space="preserve">A pergunta maior</t>
  </si>
  <si>
    <t xml:space="preserve">Como olhar para a saúde mental do time sem simplificar?</t>
  </si>
  <si>
    <t xml:space="preserve">Reaproveitar o artigo com uma frase forte e reforçar a autoridade</t>
  </si>
  <si>
    <t xml:space="preserve">Foto única</t>
  </si>
  <si>
    <t xml:space="preserve">Card de citação: uma frase forte, fácil de compartilhar nos stories e no LinkedIn. Reaproveita o artigo sem repetir o carrossel.</t>
  </si>
  <si>
    <t xml:space="preserve">FairJob; Fernando Brancaccio (se quiser)</t>
  </si>
  <si>
    <t xml:space="preserve">"Antes de perguntar apenas o que o trabalho está fazendo com a saúde mental das pessoas, deveríamos fazer uma pergunta maior: o que a nossa forma de viver em sociedade está fazendo com a saúde mental das pessoas?"</t>
  </si>
  <si>
    <t xml:space="preserve">Citação literal conferida com o artigo. Crédito do Fernando como no post da semana 1.</t>
  </si>
  <si>
    <t xml:space="preserve">Imagem única: a pergunta em destaque, assinatura "Fernando Brancaccio, na RH Pra Você". Legenda curta que liga a pergunta à da marca ("o que é importante para você?") e convida a ler o artigo.</t>
  </si>
  <si>
    <t xml:space="preserve">Modelo M8 (citação), sem foto.</t>
  </si>
  <si>
    <t xml:space="preserve">M1-13</t>
  </si>
  <si>
    <t xml:space="preserve">Pilar: sono</t>
  </si>
  <si>
    <t xml:space="preserve">Pilares da MEV (1: sono)</t>
  </si>
  <si>
    <t xml:space="preserve">Dormir não é tempo perdido</t>
  </si>
  <si>
    <t xml:space="preserve">Por que eu acordo cansado? O que dá para mudar na rotina?</t>
  </si>
  <si>
    <t xml:space="preserve">Educar sobre o pilar sono e convidar o colaborador a procurar o Escritório</t>
  </si>
  <si>
    <t xml:space="preserve">Reel de "3 hábitos" com texto na tela sobre imagens de banco: dica prática e salvável, sem rosto e sem gravar nas empresas.</t>
  </si>
  <si>
    <t xml:space="preserve">Instagram</t>
  </si>
  <si>
    <t xml:space="preserve">Dormir não é tempo perdido. No Escritório do Cuidado, o sono entra no plano a partir da sua rotina real.</t>
  </si>
  <si>
    <t xml:space="preserve">Guia "Saúde mental: o cuidado no dia a dia" (higiene do sono; OMS, APA, IPq-USP).</t>
  </si>
  <si>
    <t xml:space="preserve">Responsável médica valida as orientações. Sem promessa clínica.</t>
  </si>
  <si>
    <t xml:space="preserve">Reel de 20 a 25 s.
0–3 s: "Acorda cansado mesmo dormindo?"
3–17 s: 3 hábitos, um por cena (tela antes de dormir, horário regular, cafeína à tarde).
17–25 s: "Se o cansaço não passa, conversa com a gente no Escritório do Cuidado." + logo.</t>
  </si>
  <si>
    <t xml:space="preserve">Modelo M9 com etiqueta "PILARES · SONO". Imagens de banco (quarto, celular à noite), sem rosto identificável.</t>
  </si>
  <si>
    <t xml:space="preserve">M1-14</t>
  </si>
  <si>
    <t xml:space="preserve">A pergunta</t>
  </si>
  <si>
    <t xml:space="preserve">Uma pergunta que todo líder pode fazer</t>
  </si>
  <si>
    <t xml:space="preserve">Lideranças; Colaboradores</t>
  </si>
  <si>
    <t xml:space="preserve">Como a liderança pode cuidar do time no dia a dia?</t>
  </si>
  <si>
    <t xml:space="preserve">Gerar conversa nos comentários e levar a pergunta da marca para a liderança</t>
  </si>
  <si>
    <t xml:space="preserve">Card de pergunta aberta: gera comentários e respostas nos stories (caixa de perguntas), o que ajuda o alcance das próximas peças.</t>
  </si>
  <si>
    <t xml:space="preserve">"O que é importante para você?" é a pergunta que abre o nosso cuidado, e pode abrir uma conversa entre líder e time.</t>
  </si>
  <si>
    <t xml:space="preserve">Posicionamento Fair Health v3.2 (a pergunta como modelo de liderança).</t>
  </si>
  <si>
    <t xml:space="preserve">Sem números.</t>
  </si>
  <si>
    <t xml:space="preserve">Imagem única com a pergunta. Instagram: "Responde aqui: o que é importante para você hoje?". LinkedIn: "Líder, quando foi a última vez que você fez essa pergunta ao seu time?". Stories no mesmo dia com caixa de perguntas.</t>
  </si>
  <si>
    <t xml:space="preserve">Modelo M1 (capa-pergunta) em versão de imagem única.</t>
  </si>
  <si>
    <t xml:space="preserve">M1-15</t>
  </si>
  <si>
    <t xml:space="preserve">Como começa numa empresa</t>
  </si>
  <si>
    <t xml:space="preserve">Como chega a uma empresa</t>
  </si>
  <si>
    <t xml:space="preserve">Como o Escritório do Cuidado chega à sua empresa</t>
  </si>
  <si>
    <t xml:space="preserve">Quero isso na minha empresa. Por onde começa?</t>
  </si>
  <si>
    <t xml:space="preserve">Deixar clara a oferta e o primeiro passo comercial</t>
  </si>
  <si>
    <t xml:space="preserve">Passo a passo animado com chamada para ação por palavra-chave ("comente CUIDADO"): fecha o mês com um caminho claro para o RH.</t>
  </si>
  <si>
    <t xml:space="preserve">Começa com um diagnóstico gratuito, segue com uma proposta personalizada e chega à implantação. Comente CUIDADO.</t>
  </si>
  <si>
    <t xml:space="preserve">Executive Summary (etapas comerciais).</t>
  </si>
  <si>
    <t xml:space="preserve">Não citar prazos de cada etapa sem confirmação. Confirmar o destino do link (www.fairhealth.com.br) e quem responde os comentários e DMs.</t>
  </si>
  <si>
    <t xml:space="preserve">Reel de 20 a 25 s, motion em 3 passos.
0–3 s: "Como levar o Escritório do Cuidado para a sua empresa?"
3–9 s: PASSO 1 · Diagnóstico gratuito
9–15 s: PASSO 2 · Proposta personalizada
15–20 s: PASSO 3 · Implantação e primeiros atendimentos
20–25 s: "Comente CUIDADO." + logo.</t>
  </si>
  <si>
    <t xml:space="preserve">Modelo M2 (passos) animado e M1 no fim.</t>
  </si>
  <si>
    <t xml:space="preserve">M1-16</t>
  </si>
  <si>
    <t xml:space="preserve">NR-1 e riscos psicossociais</t>
  </si>
  <si>
    <t xml:space="preserve">Ponte para o próximo mês (NR-1)</t>
  </si>
  <si>
    <t xml:space="preserve">Antes de preencher a planilha: 5 perguntas sobre riscos psicossociais</t>
  </si>
  <si>
    <t xml:space="preserve">RH; Medicina do Trabalho; Risco e Compliance</t>
  </si>
  <si>
    <t xml:space="preserve">A NR-1 pede o mapeamento dos riscos psicossociais. Por onde eu começo de verdade?</t>
  </si>
  <si>
    <t xml:space="preserve">Ajudar o RH a olhar além do documento e abrir o tema do próximo mês</t>
  </si>
  <si>
    <t xml:space="preserve">Checklist salvável: conteúdo útil que o RH guarda e repassa para a liderança. Fecha o mês e abre o capítulo NR-1.</t>
  </si>
  <si>
    <t xml:space="preserve">Adequar-se à NR-1 não é só preencher a planilha de riscos. Se nada muda no dia a dia de quem trabalha, a pergunta continua sem resposta.</t>
  </si>
  <si>
    <t xml:space="preserve">NR-1 (Ministério do Trabalho e Emprego), em vigor desde maio de 2026 segundo o artigo; Fernando Brancaccio, "Riscos psicossociais no ambiente de trabalho e saúde", RH Pra Você, 25/09/2026. https://rhpravoce.com.br/colab/riscos-psicossociais-no-ambiente-de-trabalho-2</t>
  </si>
  <si>
    <t xml:space="preserve">Texto da norma com fonte oficial. A mensagem usa a posição [SUGESTÃO] 1 do voice.md, que precisa de aprovação. Não prometer conformidade.</t>
  </si>
  <si>
    <t xml:space="preserve">7 slides.
1 Capa: "Antes de preencher a planilha, responda 5 perguntas."
2 Você sabe o que mais pesa no dia a dia do seu time?
3 Suas lideranças sabem reconhecer os sinais?
4 Quem está sendo cuidado hoje, e quem só aparece no atestado?
5 Depois do diagnóstico, o que você vai acompanhar?
6 Dentro da empresa, onde a pessoa pode pedir ajuda?
7 "Salve e compartilhe com a sua liderança." Fonte da NR-1 no rodapé.</t>
  </si>
  <si>
    <t xml:space="preserve">Modelo M2 (uma pergunta por slide, etiqueta 1/5) com fonte no rodapé (M6).</t>
  </si>
  <si>
    <t xml:space="preserve">Formatos do mês: sem time em cena e sem gravar nas empresas-clientes</t>
  </si>
  <si>
    <t xml:space="preserve">Como é</t>
  </si>
  <si>
    <t xml:space="preserve">Por que funciona</t>
  </si>
  <si>
    <t xml:space="preserve">O que precisa para produzir</t>
  </si>
  <si>
    <t xml:space="preserve">Cuidados</t>
  </si>
  <si>
    <t xml:space="preserve">Onde usamos</t>
  </si>
  <si>
    <t xml:space="preserve">Reel de tipografia animada</t>
  </si>
  <si>
    <t xml:space="preserve">Frases curtas na tela, uma por vez, sobre o fundo da marca. Trilha calma; voz em off opcional.</t>
  </si>
  <si>
    <t xml:space="preserve">Gancho na primeira frase, lido sem som. Não depende de filmagem. Sequências do tipo "antes do..." prendem até o fim.</t>
  </si>
  <si>
    <t xml:space="preserve">Texto aprovado, Canva (animação de texto) ou CapCut. 1 a 2 horas.</t>
  </si>
  <si>
    <t xml:space="preserve">Frases curtas; no máximo 6 cenas; logo só no fim.</t>
  </si>
  <si>
    <t xml:space="preserve">M1-03, M1-11</t>
  </si>
  <si>
    <t xml:space="preserve">Explicador animado (motion com ícones)</t>
  </si>
  <si>
    <t xml:space="preserve">Conceito explicado com ícones e voz em off, em até 60 s.</t>
  </si>
  <si>
    <t xml:space="preserve">Explica um conceito novo (MEV, passos da oferta) mais rápido que um carrossel e circula bem no LinkedIn.</t>
  </si>
  <si>
    <t xml:space="preserve">Roteiro aprovado, ícones lineares, voz em off (pode ser gravada pelo celular em local silencioso).</t>
  </si>
  <si>
    <t xml:space="preserve">Validação médica de tudo o que for clínico.</t>
  </si>
  <si>
    <t xml:space="preserve">M1-05, M1-15</t>
  </si>
  <si>
    <t xml:space="preserve">Gravação de tela</t>
  </si>
  <si>
    <t xml:space="preserve">Rolagem por um painel ou tela do produto, com texto na tela.</t>
  </si>
  <si>
    <t xml:space="preserve">Mostra o produto de verdade sem expor ninguém e responde à dúvida "o que eu recebo?".</t>
  </si>
  <si>
    <t xml:space="preserve">Painel com dados fictícios e aviso "dados ilustrativos".</t>
  </si>
  <si>
    <t xml:space="preserve">Nunca dado real nem individual.</t>
  </si>
  <si>
    <t xml:space="preserve">Dado animado com fonte</t>
  </si>
  <si>
    <t xml:space="preserve">Um número grande por cena, uma frase de contexto e a fonte visível.</t>
  </si>
  <si>
    <t xml:space="preserve">Número com fonte é a prova que o RH leva para a diretoria. Animado, segura a atenção.</t>
  </si>
  <si>
    <t xml:space="preserve">Só números liberados (aba Fontes).</t>
  </si>
  <si>
    <t xml:space="preserve">Sempre agregado; nunca por pessoa; fonte na tela.</t>
  </si>
  <si>
    <t xml:space="preserve">Reel de dicas com imagem de banco</t>
  </si>
  <si>
    <t xml:space="preserve">"3 hábitos" com texto na tela sobre imagens de banco.</t>
  </si>
  <si>
    <t xml:space="preserve">Dica prática é salva e compartilhada; imagens de banco evitam gravar pessoas.</t>
  </si>
  <si>
    <t xml:space="preserve">Banco de imagens (Canva, Pexels) sem rosto identificável.</t>
  </si>
  <si>
    <t xml:space="preserve">Sem promessa clínica; validação médica.</t>
  </si>
  <si>
    <t xml:space="preserve">Carrossel passo a passo</t>
  </si>
  <si>
    <t xml:space="preserve">Um passo ou uma objeção por slide, com capa-pergunta.</t>
  </si>
  <si>
    <t xml:space="preserve">É o formato mais salvo em conteúdo explicativo e o que já testamos no carrossel de acolhimento.</t>
  </si>
  <si>
    <t xml:space="preserve">Modelos M1, M2 e M3 no Canva.</t>
  </si>
  <si>
    <t xml:space="preserve">Até 10 slides; uma ideia por slide.</t>
  </si>
  <si>
    <t xml:space="preserve">M1-02, M1-08, M1-10</t>
  </si>
  <si>
    <t xml:space="preserve">Carrossel-resumo de artigo</t>
  </si>
  <si>
    <t xml:space="preserve">As ideias principais de um artigo publicado, com citações literais e link nos stories.</t>
  </si>
  <si>
    <t xml:space="preserve">Leva a autoridade do veículo e do autor para a marca; muito compartilhado entre profissionais de RH.</t>
  </si>
  <si>
    <t xml:space="preserve">Artigo publicado e crédito do autor aprovado.</t>
  </si>
  <si>
    <t xml:space="preserve">Citações literais conferidas; crédito do veículo.</t>
  </si>
  <si>
    <t xml:space="preserve">Carrossel comparativo (isto × aquilo)</t>
  </si>
  <si>
    <t xml:space="preserve">Duas colunas que contrastam duas ideias.</t>
  </si>
  <si>
    <t xml:space="preserve">A diferença fica clara em segundos; ajuda o RH a defender a decisão internamente.</t>
  </si>
  <si>
    <t xml:space="preserve">Modelo M1 e comparativo em duas colunas.</t>
  </si>
  <si>
    <t xml:space="preserve">Não citar marcas de terceiros.</t>
  </si>
  <si>
    <t xml:space="preserve">Checklist salvável</t>
  </si>
  <si>
    <t xml:space="preserve">Perguntas ou itens numerados, um por slide, com convite para salvar.</t>
  </si>
  <si>
    <t xml:space="preserve">Conteúdo útil é salvo e repassado à liderança; abre o tema do mês seguinte.</t>
  </si>
  <si>
    <t xml:space="preserve">Modelo M2 com etiqueta 1/5.</t>
  </si>
  <si>
    <t xml:space="preserve">Fonte oficial quando cita norma.</t>
  </si>
  <si>
    <t xml:space="preserve">Card de citação</t>
  </si>
  <si>
    <t xml:space="preserve">Uma frase em destaque com assinatura.</t>
  </si>
  <si>
    <t xml:space="preserve">Fácil de compartilhar nos stories e no LinkedIn; reaproveita conteúdo sem repetir.</t>
  </si>
  <si>
    <t xml:space="preserve">Modelo M8.</t>
  </si>
  <si>
    <t xml:space="preserve">Citação literal e crédito.</t>
  </si>
  <si>
    <t xml:space="preserve">Card de pergunta aberta</t>
  </si>
  <si>
    <t xml:space="preserve">Uma pergunta em destaque e convite para responder.</t>
  </si>
  <si>
    <t xml:space="preserve">Gera comentários e respostas nos stories; ajuda o alcance das próximas peças.</t>
  </si>
  <si>
    <t xml:space="preserve">Modelo M1 em imagem única + caixa de perguntas nos stories.</t>
  </si>
  <si>
    <t xml:space="preserve">Alguém precisa responder os comentários.</t>
  </si>
  <si>
    <t xml:space="preserve">Fontes e números</t>
  </si>
  <si>
    <t xml:space="preserve">O que diz</t>
  </si>
  <si>
    <t xml:space="preserve">Como usar</t>
  </si>
  <si>
    <t xml:space="preserve">Situação</t>
  </si>
  <si>
    <t xml:space="preserve">Artigo do cofundador na RH Pra Você (25/09/2026)</t>
  </si>
  <si>
    <t xml:space="preserve">Fernando Brancaccio: desde maio de 2026 a NR-1 exige que as empresas identifiquem, avaliem e gerenciem os riscos psicossociais; o trabalho pode adoecer, mas não é o único vilão; a empresa responde pelo ambiente que constrói, mas não controla todas as variáveis; responsabilidade compartilhada (poder público, sociedade, empresas e indivíduo); "Saúde mental é, ao mesmo tempo, de cada um e de todos." URL: https://rhpravoce.com.br/colab/riscos-psicossociais-no-ambiente-de-trabalho-2</t>
  </si>
  <si>
    <t xml:space="preserve">Resumo em carrossel, card de citação, link nos stories. Citações sempre literais.</t>
  </si>
  <si>
    <t xml:space="preserve">Publicado. Confirmar o crédito do autor.</t>
  </si>
  <si>
    <t xml:space="preserve">M1-04, M1-12, M1-16</t>
  </si>
  <si>
    <t xml:space="preserve">Global Burden of Disease (citado no artigo, via SciELO / Revista Brasileira de Epidemiologia)</t>
  </si>
  <si>
    <t xml:space="preserve">Pessoas vivendo com 12 transtornos mentais em 204 países: de 654,8 milhões (1990) para 970,1 milhões (2019), crescimento de 48,1%.</t>
  </si>
  <si>
    <t xml:space="preserve">[SUGESTÃO] Dado de contexto para o mês da NR-1, sempre com a fonte original.</t>
  </si>
  <si>
    <t xml:space="preserve">Não liberado: aprovar antes de usar.</t>
  </si>
  <si>
    <t xml:space="preserve">Banco de ideias</t>
  </si>
  <si>
    <t xml:space="preserve">Chemitec (1º semestre de 2026)</t>
  </si>
  <si>
    <t xml:space="preserve">161 atendimentos, 48 colaboradores atendidos (98% de adesão), 81,3% voltaram para 2 ou mais atendimentos, 46 smartbands em uso.</t>
  </si>
  <si>
    <t xml:space="preserve">Sempre agregado. Nome da empresa só com autorização.</t>
  </si>
  <si>
    <t xml:space="preserve">Liberado (instagram/voice.md).</t>
  </si>
  <si>
    <t xml:space="preserve">Hospital Dia Santo Amaro (2025)</t>
  </si>
  <si>
    <t xml:space="preserve">Reclamações mensais de 34 para cerca de 20 (cerca de 40% a menos); conformidade média de 98,2%; apresentado em congresso internacional.</t>
  </si>
  <si>
    <t xml:space="preserve">História de origem e prova do modelo.</t>
  </si>
  <si>
    <t xml:space="preserve">Harvard Business Review (2022) e SHRM (2023)</t>
  </si>
  <si>
    <t xml:space="preserve">−28% de absenteísmo (HBR 2022); −22% de custos com saúde (SHRM 2023).</t>
  </si>
  <si>
    <t xml:space="preserve">Argumento de retorno, sempre com a fonte. Fica para o mês de Stop Loss.</t>
  </si>
  <si>
    <t xml:space="preserve">ACLM e CBMEV</t>
  </si>
  <si>
    <t xml:space="preserve">Definição de Medicina do Estilo de Vida e seus pilares.</t>
  </si>
  <si>
    <t xml:space="preserve">Base do explicador de MEV.</t>
  </si>
  <si>
    <t xml:space="preserve">Responsável médica confere.</t>
  </si>
  <si>
    <t xml:space="preserve">Não usar</t>
  </si>
  <si>
    <t xml:space="preserve">"23% mais caro", "R$ 2.400 por colaborador", "maior índice de burnout" (sem fonte no posicionamento); −27%, "R$ 2,70 por R$ 1" e "70% dos custos do plano"; "validado no SUS" até confirmar.</t>
  </si>
  <si>
    <t xml:space="preserve">—</t>
  </si>
  <si>
    <t xml:space="preserve">Bloqueado até ter fonte.</t>
  </si>
  <si>
    <t xml:space="preserve">Banco de ideias: o que ficou para depois e os próximos meses</t>
  </si>
  <si>
    <t xml:space="preserve">Ideia</t>
  </si>
  <si>
    <t xml:space="preserve">Motivo / o que destrava</t>
  </si>
  <si>
    <t xml:space="preserve">Próximo uso sugerido</t>
  </si>
  <si>
    <t xml:space="preserve">Série Quem cuida (Marília, Nina, Ronald, Floriana, Renata, Liliane, Fernando, Charles e o time junto)</t>
  </si>
  <si>
    <t xml:space="preserve">Calendário de 90 dias</t>
  </si>
  <si>
    <t xml:space="preserve">Adiada</t>
  </si>
  <si>
    <t xml:space="preserve">Não vamos apresentar o time por agora (questão administrativa). As capas já feitas ficam guardadas em instagram/posts/time.</t>
  </si>
  <si>
    <t xml:space="preserve">Quando a questão for resolvida</t>
  </si>
  <si>
    <t xml:space="preserve">Um dia no Escritório do Cuidado (vídeo no espaço)</t>
  </si>
  <si>
    <t xml:space="preserve">Calendário de 90 dias (M1-03)</t>
  </si>
  <si>
    <t xml:space="preserve">Não podemos filmar clientes: o espaço fica dentro das empresas-clientes.</t>
  </si>
  <si>
    <t xml:space="preserve">Se houver autorização formal, ou recriar em local próprio</t>
  </si>
  <si>
    <t xml:space="preserve">Bastidores de uma implantação</t>
  </si>
  <si>
    <t xml:space="preserve">Calendário de 90 dias (M2-01)</t>
  </si>
  <si>
    <t xml:space="preserve">Mesmo motivo: gravação dentro da empresa-cliente.</t>
  </si>
  <si>
    <t xml:space="preserve">Versão em motion, sem imagens da empresa</t>
  </si>
  <si>
    <t xml:space="preserve">Depoimentos em vídeo e por escrito</t>
  </si>
  <si>
    <t xml:space="preserve">Calendário de 90 dias (M2-10, M3-03)</t>
  </si>
  <si>
    <t xml:space="preserve">Não podemos filmar clientes; limites do CFM para depoimentos.</t>
  </si>
  <si>
    <t xml:space="preserve">Depoimento escrito e anônimo, se aprovado</t>
  </si>
  <si>
    <t xml:space="preserve">Workshops nos pilares (fotos reais)</t>
  </si>
  <si>
    <t xml:space="preserve">Calendário de 90 dias (M1-06, M2-13)</t>
  </si>
  <si>
    <t xml:space="preserve">Aguardando material</t>
  </si>
  <si>
    <t xml:space="preserve">Fotos de encontros expõem clientes. Possível versão só com materiais e slides do workshop.</t>
  </si>
  <si>
    <t xml:space="preserve">Mês de Ambiente positivo</t>
  </si>
  <si>
    <t xml:space="preserve">Registro do mês</t>
  </si>
  <si>
    <t xml:space="preserve">Aguardando pauta</t>
  </si>
  <si>
    <t xml:space="preserve">Depende da agenda de eventos e entregas.</t>
  </si>
  <si>
    <t xml:space="preserve">Quando houver evento próprio</t>
  </si>
  <si>
    <t xml:space="preserve">Série NR-1 (contexto, diagnóstico, cuidado individualizado, acompanhamento, versão para colaboradores)</t>
  </si>
  <si>
    <t xml:space="preserve">Plano mensal (Mês 2)</t>
  </si>
  <si>
    <t xml:space="preserve">Próximo capítulo. O artigo do cofundador e o checklist M1-16 já abrem o tema.</t>
  </si>
  <si>
    <t xml:space="preserve">Mês 2</t>
  </si>
  <si>
    <t xml:space="preserve">"O que nos diferencia": plano de saúde, plataformas de bem-estar e QVT (3 posts)</t>
  </si>
  <si>
    <t xml:space="preserve">Posicionamento v3.2</t>
  </si>
  <si>
    <t xml:space="preserve">Falar da categoria, sem citar marcas.</t>
  </si>
  <si>
    <t xml:space="preserve">Mês 2 ou 3</t>
  </si>
  <si>
    <t xml:space="preserve">"Quem cuida também precisa de cuidado" (edição especial para a saúde)</t>
  </si>
  <si>
    <t xml:space="preserve">Posicionamento v3.2 (arenas)</t>
  </si>
  <si>
    <t xml:space="preserve">Liga a origem hospitalar ao cuidado de quem cuida.</t>
  </si>
  <si>
    <t xml:space="preserve">Mês 3</t>
  </si>
  <si>
    <t xml:space="preserve">Pilares da MEV, um por vez (saúde mental e estresse, relações sociais, alimentação, propósito, atividade física, substâncias)</t>
  </si>
  <si>
    <t xml:space="preserve">Depende da decisão 6 ou 7 pilares.</t>
  </si>
  <si>
    <t xml:space="preserve">Um pilar por mês</t>
  </si>
  <si>
    <t xml:space="preserve">Case Hospital Dia Santo Amaro</t>
  </si>
  <si>
    <t xml:space="preserve">voice.md (liberado)</t>
  </si>
  <si>
    <t xml:space="preserve">Prova da origem do modelo.</t>
  </si>
  <si>
    <t xml:space="preserve">Mês de Stop Loss ou de prova</t>
  </si>
  <si>
    <t xml:space="preserve">Indicadores para o RH (HBR 2022, SHRM 2023)</t>
  </si>
  <si>
    <t xml:space="preserve">Argumento de retorno, um indicador por vez.</t>
  </si>
  <si>
    <t xml:space="preserve">Mês de Stop Loss</t>
  </si>
  <si>
    <t xml:space="preserve">Dia Mundial do Diabetes (14/11)</t>
  </si>
  <si>
    <t xml:space="preserve">Stories sobre alimentação e atividade física, com a responsável médica.</t>
  </si>
  <si>
    <t xml:space="preserve">Stories de 14/11</t>
  </si>
  <si>
    <t xml:space="preserve">Linhas editoriais</t>
  </si>
  <si>
    <t xml:space="preserve">Linha</t>
  </si>
  <si>
    <t xml:space="preserve">O que entra</t>
  </si>
  <si>
    <t xml:space="preserve">Objetivos típicos</t>
  </si>
  <si>
    <t xml:space="preserve">Formatos que funcionam agora</t>
  </si>
  <si>
    <t xml:space="preserve">Peso no mês</t>
  </si>
  <si>
    <t xml:space="preserve">O que é a Fair Health, por que existe, de onde veio (Escritório do Paciente → Escritório do Cuidado, ecossistema FairJob) e em que acredita ("cuidar antes", "não é benefício, é infraestrutura de cuidado").</t>
  </si>
  <si>
    <t xml:space="preserve">Apresentar, gerar confiança, fixar a tese.</t>
  </si>
  <si>
    <t xml:space="preserve">Tipografia animada, linha do tempo, comparativo, card de pergunta.</t>
  </si>
  <si>
    <t xml:space="preserve">Cerca de 1/3</t>
  </si>
  <si>
    <t xml:space="preserve">Escritório do Cuidado (percurso, sigilo), Medicina do Estilo de Vida e os pilares, plano individualizado, tecnologia e temas do entorno (NR-1, saúde mental) quando a ligação com a oferta é clara.</t>
  </si>
  <si>
    <t xml:space="preserve">Explicar, educar com rigor, tirar dúvidas, levar à conversa comercial.</t>
  </si>
  <si>
    <t xml:space="preserve">Carrossel passo a passo, explicador animado, checklist, dicas com imagem de banco.</t>
  </si>
  <si>
    <t xml:space="preserve">Cerca de 1/3 a 2/5</t>
  </si>
  <si>
    <t xml:space="preserve">O que a Fair Health está fazendo e entregando: números liberados, entregas para o RH, participações na imprensa e em eventos, como chega a uma empresa.</t>
  </si>
  <si>
    <t xml:space="preserve">Provar, mostrar movimento, gerar autoridade.</t>
  </si>
  <si>
    <t xml:space="preserve">Dado animado, gravação de tela, resumo de artigo, card de citação.</t>
  </si>
  <si>
    <t xml:space="preserve">Cerca de 1/4 a 1/3</t>
  </si>
  <si>
    <t xml:space="preserve">Personas (posicionamento v3.2)</t>
  </si>
  <si>
    <t xml:space="preserve">Quem é</t>
  </si>
  <si>
    <t xml:space="preserve">Dor de entrada</t>
  </si>
  <si>
    <t xml:space="preserve">Como falar</t>
  </si>
  <si>
    <t xml:space="preserve">RH</t>
  </si>
  <si>
    <t xml:space="preserve">CHROs, gerentes de pessoas e business partners de empresas de médio e grande porte, principalmente indústria. Público principal.</t>
  </si>
  <si>
    <t xml:space="preserve">Como atender à NR-1 de um jeito que mude algo? Meu programa tem adesão? O que eu recebo? Como começar?</t>
  </si>
  <si>
    <t xml:space="preserve">Assertivo e pragmático, com processo e evidência.</t>
  </si>
  <si>
    <t xml:space="preserve">Números só liberados e com fonte.</t>
  </si>
  <si>
    <t xml:space="preserve">Lideranças</t>
  </si>
  <si>
    <t xml:space="preserve">Gestores e líderes de equipe.</t>
  </si>
  <si>
    <t xml:space="preserve">Como cuidar do time no dia a dia sem ser médico nem psicólogo?</t>
  </si>
  <si>
    <t xml:space="preserve">Direto, com perguntas práticas.</t>
  </si>
  <si>
    <t xml:space="preserve">Não transferir ao líder a responsabilidade clínica.</t>
  </si>
  <si>
    <t xml:space="preserve">Quem é ou pode ser atendido pelo Escritório do Cuidado.</t>
  </si>
  <si>
    <t xml:space="preserve">Vou ser julgado? O que eu contar fica entre nós? Cabe na minha rotina?</t>
  </si>
  <si>
    <t xml:space="preserve">Acolhedor, em segunda pessoa, sem números de negócio.</t>
  </si>
  <si>
    <t xml:space="preserve">Nunca expor quem é atendido.</t>
  </si>
  <si>
    <t xml:space="preserve">Medicina do Trabalho</t>
  </si>
  <si>
    <t xml:space="preserve">Médicos do trabalho e equipes de SST.</t>
  </si>
  <si>
    <t xml:space="preserve">Isso substitui ou complementa o que já fazemos?</t>
  </si>
  <si>
    <t xml:space="preserve">Técnico, com fontes e precisão.</t>
  </si>
  <si>
    <t xml:space="preserve">Validação da responsável médica.</t>
  </si>
  <si>
    <t xml:space="preserve">Risco e Compliance</t>
  </si>
  <si>
    <t xml:space="preserve">Áreas de risco, compliance e jurídico.</t>
  </si>
  <si>
    <t xml:space="preserve">Como documentar e acompanhar os riscos psicossociais?</t>
  </si>
  <si>
    <t xml:space="preserve">Objetivo, com a norma e a fonte.</t>
  </si>
  <si>
    <t xml:space="preserve">Não prometer conformidade.</t>
  </si>
  <si>
    <t xml:space="preserve">Diretoria financeira</t>
  </si>
  <si>
    <t xml:space="preserve">Diretoria financeira.</t>
  </si>
  <si>
    <t xml:space="preserve">Qual o retorno? O que muda na sinistralidade?</t>
  </si>
  <si>
    <t xml:space="preserve">Indicadores com fonte, sem promessa.</t>
  </si>
  <si>
    <t xml:space="preserve">Argumento de retorno no mês de Stop Loss.</t>
  </si>
  <si>
    <t xml:space="preserve">RI e C-Level</t>
  </si>
  <si>
    <t xml:space="preserve">C-Level e relações com investidores (ESG).</t>
  </si>
  <si>
    <t xml:space="preserve">Como o cuidado aparece nos indicadores da empresa?</t>
  </si>
  <si>
    <t xml:space="preserve">Estratégico, curto.</t>
  </si>
  <si>
    <t xml:space="preserve">Sem números sem fonte.</t>
  </si>
  <si>
    <t xml:space="preserve">Pendências e validações</t>
  </si>
  <si>
    <t xml:space="preserve">#</t>
  </si>
  <si>
    <t xml:space="preserve">Pendência</t>
  </si>
  <si>
    <t xml:space="preserve">Quem confirma</t>
  </si>
  <si>
    <t xml:space="preserve">Pautas afetadas</t>
  </si>
  <si>
    <t xml:space="preserve">Questão administrativa que adia a apresentação do time: previsão para retomar a série Quem cuida.</t>
  </si>
  <si>
    <t xml:space="preserve">Sócios</t>
  </si>
  <si>
    <t xml:space="preserve">Aberta</t>
  </si>
  <si>
    <t xml:space="preserve">Crédito do Fernando Brancaccio nos posts (cofundador da Fair Health? fundador da FairJob?) e se ele quer ser marcado.</t>
  </si>
  <si>
    <t xml:space="preserve">Fernando + Comunicação</t>
  </si>
  <si>
    <t xml:space="preserve">M1-04, M1-12</t>
  </si>
  <si>
    <t xml:space="preserve">Onde gravar o vídeo de abertura sem time e sem empresa-cliente (local próprio ou neutro) ou montar com fotos e tipografia.</t>
  </si>
  <si>
    <t xml:space="preserve">Comunicação</t>
  </si>
  <si>
    <t xml:space="preserve">Assistentes sociais fazem parte do atendimento? (o posicionamento cita médico e psicológico)</t>
  </si>
  <si>
    <t xml:space="preserve">Time Fair Health</t>
  </si>
  <si>
    <t xml:space="preserve">Nome da responsável médica que valida o conteúdo clínico.</t>
  </si>
  <si>
    <t xml:space="preserve">Todas as pautas com "responsável médica"</t>
  </si>
  <si>
    <t xml:space="preserve">6 ou 7 pilares da MEV.</t>
  </si>
  <si>
    <t xml:space="preserve">Responsável médica</t>
  </si>
  <si>
    <t xml:space="preserve">M1-05 e série Pilares</t>
  </si>
  <si>
    <t xml:space="preserve">Nome único do plano: Plano Individualizado de Cuidado ou Plano de Cuidado Personalizado (PPC).</t>
  </si>
  <si>
    <t xml:space="preserve">Etapas e prazos clínicos: bioimpedância, smartband por 48 h, retorno.</t>
  </si>
  <si>
    <t xml:space="preserve">Número da Chemitec já no Mês 1 (decisão de 01/10 deixava números para depois da estreia) e autorização para citar o nome.</t>
  </si>
  <si>
    <t xml:space="preserve">Sócios + Chemitec</t>
  </si>
  <si>
    <t xml:space="preserve">Quem idealizou o Escritório do Paciente; fonte de "validado no SUS".</t>
  </si>
  <si>
    <t xml:space="preserve">Indicadores que entram no relatório do RH (fairdata).</t>
  </si>
  <si>
    <t xml:space="preserve">Time Fair Health + fairdata</t>
  </si>
  <si>
    <t xml:space="preserve">Texto, prazos e obrigações da NR-1 com fonte oficial; aprovação da posição [SUGESTÃO] 1 do voice.md.</t>
  </si>
  <si>
    <t xml:space="preserve">Responsável médica + sócios</t>
  </si>
  <si>
    <t xml:space="preserve">Collab no Instagram e LinkedIn pela FairJob: quem publica, quem aceita o convite.</t>
  </si>
  <si>
    <t xml:space="preserve">Comunicação + FairJob</t>
  </si>
  <si>
    <t xml:space="preserve">Todas as pautas</t>
  </si>
  <si>
    <t xml:space="preserve">Destino do link e da chamada CUIDADO (www.fairhealth.com.br) e quem responde comentários e DMs.</t>
  </si>
  <si>
    <t xml:space="preserve">M1-06, M1-15</t>
  </si>
  <si>
    <t xml:space="preserve">Fontes dos números do posicionamento (23%, R$ 2.400, burnout).</t>
  </si>
  <si>
    <t xml:space="preserve">Fontes</t>
  </si>
  <si>
    <t xml:space="preserve">Instagram Stories</t>
  </si>
  <si>
    <t xml:space="preserve">Pauta aprovada</t>
  </si>
  <si>
    <t xml:space="preserve">Stories</t>
  </si>
  <si>
    <t xml:space="preserve">LinkedIn</t>
  </si>
  <si>
    <t xml:space="preserve">Mês 4</t>
  </si>
  <si>
    <t xml:space="preserve">Mês 5</t>
  </si>
  <si>
    <t xml:space="preserve">Mês 6</t>
  </si>
  <si>
    <t xml:space="preserve">Em produção</t>
  </si>
  <si>
    <t xml:space="preserve">Mês 7</t>
  </si>
  <si>
    <t xml:space="preserve">Mês 8</t>
  </si>
  <si>
    <t xml:space="preserve">Validação médica</t>
  </si>
  <si>
    <t xml:space="preserve">Mês 9</t>
  </si>
  <si>
    <t xml:space="preserve">Aprovado</t>
  </si>
  <si>
    <t xml:space="preserve">Mês 10</t>
  </si>
  <si>
    <t xml:space="preserve">Agendado</t>
  </si>
  <si>
    <t xml:space="preserve">Mês 11</t>
  </si>
  <si>
    <t xml:space="preserve">Publicado</t>
  </si>
  <si>
    <t xml:space="preserve">Mês 12</t>
  </si>
  <si>
    <t xml:space="preserve">Descartada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</si>
</sst>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dd/mm/yyyy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36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A36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2"/>
      <color rgb="FF1F3A36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FC5BD"/>
        <bgColor rgb="FFC9D6D2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6D2"/>
      </left>
      <right style="thin">
        <color rgb="FFC9D6D2"/>
      </right>
      <top style="thin">
        <color rgb="FFC9D6D2"/>
      </top>
      <bottom style="thin">
        <color rgb="FFC9D6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ill>
        <patternFill patternType="solid">
          <fgColor rgb="FF9FC5B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A36"/>
          <bgColor rgb="FF000000"/>
        </patternFill>
      </fill>
    </dxf>
    <dxf>
      <fill>
        <patternFill patternType="solid">
          <fgColor rgb="FFD7EAE5"/>
          <bgColor rgb="FF000000"/>
        </patternFill>
      </fill>
    </dxf>
    <dxf>
      <fill>
        <patternFill patternType="solid">
          <fgColor rgb="FFDFE4F0"/>
          <bgColor rgb="FF000000"/>
        </patternFill>
      </fill>
    </dxf>
    <dxf>
      <fill>
        <patternFill patternType="solid">
          <fgColor rgb="FFF7EBC5"/>
          <bgColor rgb="FF000000"/>
        </patternFill>
      </fill>
    </dxf>
    <dxf>
      <fill>
        <patternFill patternType="solid">
          <fgColor rgb="FFE3EEF6"/>
          <bgColor rgb="FF000000"/>
        </patternFill>
      </fill>
    </dxf>
    <dxf>
      <fill>
        <patternFill patternType="solid">
          <fgColor rgb="FFE6F2E3"/>
          <bgColor rgb="FF000000"/>
        </patternFill>
      </fill>
    </dxf>
    <dxf>
      <fill>
        <patternFill patternType="solid">
          <fgColor rgb="FFEEF5F3"/>
          <bgColor rgb="FF000000"/>
        </patternFill>
      </fill>
    </dxf>
    <dxf>
      <fill>
        <patternFill patternType="solid">
          <fgColor rgb="FFF3ECF7"/>
          <bgColor rgb="FF000000"/>
        </patternFill>
      </fill>
    </dxf>
    <dxf>
      <fill>
        <patternFill patternType="solid">
          <fgColor rgb="FFF6E3DF"/>
          <bgColor rgb="FF000000"/>
        </patternFill>
      </fill>
    </dxf>
    <dxf>
      <fill>
        <patternFill>
          <bgColor rgb="FFD7EAE5"/>
        </patternFill>
      </fill>
    </dxf>
    <dxf>
      <fill>
        <patternFill>
          <bgColor rgb="FFF7EBC5"/>
        </patternFill>
      </fill>
    </dxf>
    <dxf>
      <fill>
        <patternFill>
          <bgColor rgb="FFDFE4F0"/>
        </patternFill>
      </fill>
    </dxf>
    <dxf>
      <font>
        <name val="Arial"/>
        <charset val="1"/>
        <family val="0"/>
        <b val="1"/>
        <color rgb="FF1F3A36"/>
      </font>
    </dxf>
    <dxf>
      <fill>
        <patternFill>
          <bgColor rgb="FFEEF5F3"/>
        </patternFill>
      </fill>
    </dxf>
    <dxf>
      <fill>
        <patternFill>
          <bgColor rgb="FFF6E3DF"/>
        </patternFill>
      </fill>
    </dxf>
    <dxf>
      <fill>
        <patternFill>
          <bgColor rgb="FFE3EEF6"/>
        </patternFill>
      </fill>
    </dxf>
    <dxf>
      <fill>
        <patternFill>
          <bgColor rgb="FFE6F2E3"/>
        </patternFill>
      </fill>
    </dxf>
    <dxf>
      <fill>
        <patternFill>
          <bgColor rgb="FFF3ECF7"/>
        </patternFill>
      </fill>
    </dxf>
  </dxfs>
  <colors>
    <indexedColors>
      <rgbColor rgb="FF000000"/>
      <rgbColor rgb="FFEEF5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9FC5BD"/>
      <rgbColor rgb="FF808080"/>
      <rgbColor rgb="FF9999FF"/>
      <rgbColor rgb="FF993366"/>
      <rgbColor rgb="FFF7EBC5"/>
      <rgbColor rgb="FFE3EEF6"/>
      <rgbColor rgb="FF660066"/>
      <rgbColor rgb="FFFF8080"/>
      <rgbColor rgb="FF0066CC"/>
      <rgbColor rgb="FFC9D6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7EAE5"/>
      <rgbColor rgb="FFE6F2E3"/>
      <rgbColor rgb="FFF3ECF7"/>
      <rgbColor rgb="FFDFE4F0"/>
      <rgbColor rgb="FFFF99CC"/>
      <rgbColor rgb="FFCC99FF"/>
      <rgbColor rgb="FFF6E3DF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4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23.8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23.8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/>
    </row>
    <row r="20" customFormat="false" ht="15" hidden="false" customHeight="false" outlineLevel="0" collapsed="false">
      <c r="A20" s="3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/>
    </row>
    <row r="24" customFormat="false" ht="15" hidden="false" customHeight="false" outlineLevel="0" collapsed="false">
      <c r="A24" s="3" t="s">
        <v>18</v>
      </c>
    </row>
    <row r="25" customFormat="false" ht="15" hidden="false" customHeight="false" outlineLevel="0" collapsed="false">
      <c r="A25" s="2" t="s">
        <v>19</v>
      </c>
    </row>
    <row r="26" customFormat="false" ht="15" hidden="false" customHeight="false" outlineLevel="0" collapsed="false">
      <c r="A26" s="2" t="s">
        <v>20</v>
      </c>
    </row>
    <row r="27" customFormat="false" ht="15" hidden="false" customHeight="false" outlineLevel="0" collapsed="false">
      <c r="A27" s="2" t="s">
        <v>21</v>
      </c>
    </row>
    <row r="28" customFormat="false" ht="15" hidden="false" customHeight="false" outlineLevel="0" collapsed="false">
      <c r="A28" s="2"/>
    </row>
    <row r="29" customFormat="false" ht="15" hidden="false" customHeight="false" outlineLevel="0" collapsed="false">
      <c r="A29" s="3" t="s">
        <v>22</v>
      </c>
    </row>
    <row r="30" customFormat="false" ht="23.85" hidden="false" customHeight="false" outlineLevel="0" collapsed="false">
      <c r="A30" s="2" t="s">
        <v>23</v>
      </c>
    </row>
    <row r="31" customFormat="false" ht="15" hidden="false" customHeight="false" outlineLevel="0" collapsed="false">
      <c r="A31" s="2"/>
    </row>
    <row r="32" customFormat="false" ht="15" hidden="false" customHeight="false" outlineLevel="0" collapsed="false">
      <c r="A32" s="3" t="s">
        <v>24</v>
      </c>
    </row>
    <row r="33" customFormat="false" ht="15" hidden="false" customHeight="false" outlineLevel="0" collapsed="false">
      <c r="A33" s="2" t="s">
        <v>25</v>
      </c>
    </row>
    <row r="34" customFormat="false" ht="15" hidden="false" customHeight="false" outlineLevel="0" collapsed="false">
      <c r="A34" s="2" t="s">
        <v>26</v>
      </c>
    </row>
    <row r="35" customFormat="false" ht="15" hidden="false" customHeight="false" outlineLevel="0" collapsed="false">
      <c r="A35" s="2" t="s">
        <v>27</v>
      </c>
    </row>
    <row r="36" customFormat="false" ht="15" hidden="false" customHeight="false" outlineLevel="0" collapsed="false">
      <c r="A36" s="2" t="s">
        <v>28</v>
      </c>
    </row>
    <row r="37" customFormat="false" ht="15" hidden="false" customHeight="false" outlineLevel="0" collapsed="false">
      <c r="A37" s="2" t="s">
        <v>29</v>
      </c>
    </row>
    <row r="38" customFormat="false" ht="15" hidden="false" customHeight="false" outlineLevel="0" collapsed="false">
      <c r="A38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44"/>
    <col collapsed="false" customWidth="true" hidden="false" outlineLevel="0" max="4" min="4" style="0" width="16"/>
    <col collapsed="false" customWidth="true" hidden="false" outlineLevel="0" max="6" min="5" style="0" width="9"/>
    <col collapsed="false" customWidth="true" hidden="false" outlineLevel="0" max="7" min="7" style="0" width="13"/>
    <col collapsed="false" customWidth="true" hidden="false" outlineLevel="0" max="9" min="8" style="0" width="10"/>
  </cols>
  <sheetData>
    <row r="1" customFormat="false" ht="17.35" hidden="false" customHeight="false" outlineLevel="0" collapsed="false">
      <c r="A1" s="4" t="s">
        <v>31</v>
      </c>
    </row>
    <row r="2" customFormat="false" ht="15" hidden="false" customHeight="false" outlineLevel="0" collapsed="false">
      <c r="A2" s="5" t="s">
        <v>32</v>
      </c>
    </row>
    <row r="4" customFormat="false" ht="15" hidden="false" customHeight="true" outlineLevel="0" collapsed="false">
      <c r="A4" s="6" t="s">
        <v>33</v>
      </c>
      <c r="B4" s="7" t="s">
        <v>34</v>
      </c>
      <c r="C4" s="7"/>
      <c r="D4" s="7"/>
      <c r="E4" s="7"/>
      <c r="F4" s="7"/>
      <c r="G4" s="7"/>
      <c r="H4" s="7"/>
    </row>
    <row r="5" customFormat="false" ht="15" hidden="false" customHeight="false" outlineLevel="0" collapsed="false">
      <c r="A5" s="6" t="s">
        <v>35</v>
      </c>
      <c r="B5" s="7" t="str">
        <f aca="false">TEXT(Calendário!$D$2,"DD/MM")&amp;" a "&amp;TEXT(Calendário!$D$2+27,"DD/MM")</f>
        <v>19/10 a 15/11</v>
      </c>
      <c r="C5" s="7"/>
      <c r="D5" s="7"/>
      <c r="E5" s="7"/>
      <c r="F5" s="7"/>
      <c r="G5" s="7"/>
      <c r="H5" s="7"/>
    </row>
    <row r="6" customFormat="false" ht="15" hidden="false" customHeight="true" outlineLevel="0" collapsed="false">
      <c r="A6" s="6" t="s">
        <v>36</v>
      </c>
      <c r="B6" s="7" t="s">
        <v>37</v>
      </c>
      <c r="C6" s="7"/>
      <c r="D6" s="7"/>
      <c r="E6" s="7"/>
      <c r="F6" s="7"/>
      <c r="G6" s="7"/>
      <c r="H6" s="7"/>
    </row>
    <row r="7" customFormat="false" ht="15" hidden="false" customHeight="true" outlineLevel="0" collapsed="false">
      <c r="A7" s="6" t="s">
        <v>38</v>
      </c>
      <c r="B7" s="7" t="s">
        <v>39</v>
      </c>
      <c r="C7" s="7"/>
      <c r="D7" s="7"/>
      <c r="E7" s="7"/>
      <c r="F7" s="7"/>
      <c r="G7" s="7"/>
      <c r="H7" s="7"/>
    </row>
    <row r="8" customFormat="false" ht="15" hidden="false" customHeight="true" outlineLevel="0" collapsed="false">
      <c r="A8" s="6" t="s">
        <v>40</v>
      </c>
      <c r="B8" s="7" t="s">
        <v>41</v>
      </c>
      <c r="C8" s="7"/>
      <c r="D8" s="7"/>
      <c r="E8" s="7"/>
      <c r="F8" s="7"/>
      <c r="G8" s="7"/>
      <c r="H8" s="7"/>
    </row>
    <row r="9" customFormat="false" ht="15" hidden="false" customHeight="true" outlineLevel="0" collapsed="false">
      <c r="A9" s="6" t="s">
        <v>42</v>
      </c>
      <c r="B9" s="7" t="s">
        <v>43</v>
      </c>
      <c r="C9" s="7"/>
      <c r="D9" s="7"/>
      <c r="E9" s="7"/>
      <c r="F9" s="7"/>
      <c r="G9" s="7"/>
      <c r="H9" s="7"/>
    </row>
    <row r="10" customFormat="false" ht="15" hidden="false" customHeight="true" outlineLevel="0" collapsed="false">
      <c r="A10" s="6" t="s">
        <v>44</v>
      </c>
      <c r="B10" s="7" t="s">
        <v>45</v>
      </c>
      <c r="C10" s="7"/>
      <c r="D10" s="7"/>
      <c r="E10" s="7"/>
      <c r="F10" s="7"/>
      <c r="G10" s="7"/>
      <c r="H10" s="7"/>
    </row>
    <row r="11" customFormat="false" ht="23.85" hidden="false" customHeight="true" outlineLevel="0" collapsed="false">
      <c r="A11" s="6" t="s">
        <v>46</v>
      </c>
      <c r="B11" s="7" t="s">
        <v>47</v>
      </c>
      <c r="C11" s="7"/>
      <c r="D11" s="7"/>
      <c r="E11" s="7"/>
      <c r="F11" s="7"/>
      <c r="G11" s="7"/>
      <c r="H11" s="7"/>
    </row>
    <row r="13" customFormat="false" ht="15" hidden="false" customHeight="false" outlineLevel="0" collapsed="false">
      <c r="A13" s="8" t="s">
        <v>48</v>
      </c>
    </row>
    <row r="14" customFormat="false" ht="15" hidden="false" customHeight="false" outlineLevel="0" collapsed="false">
      <c r="A14" s="9" t="s">
        <v>49</v>
      </c>
      <c r="B14" s="9" t="s">
        <v>50</v>
      </c>
      <c r="C14" s="9" t="s">
        <v>51</v>
      </c>
      <c r="D14" s="9" t="s">
        <v>52</v>
      </c>
      <c r="E14" s="9" t="s">
        <v>53</v>
      </c>
      <c r="F14" s="9" t="s">
        <v>54</v>
      </c>
      <c r="G14" s="9" t="s">
        <v>55</v>
      </c>
      <c r="H14" s="9" t="s">
        <v>56</v>
      </c>
      <c r="I14" s="9" t="s">
        <v>57</v>
      </c>
    </row>
    <row r="15" customFormat="false" ht="23.85" hidden="false" customHeight="false" outlineLevel="0" collapsed="false">
      <c r="A15" s="7" t="n">
        <v>1</v>
      </c>
      <c r="B15" s="7" t="s">
        <v>58</v>
      </c>
      <c r="C15" s="7" t="s">
        <v>59</v>
      </c>
      <c r="D15" s="7" t="s">
        <v>60</v>
      </c>
      <c r="E15" s="7" t="n">
        <f aca="false">COUNTIFS(Calendário!$C$5:$C$400,$A15)</f>
        <v>4</v>
      </c>
      <c r="F15" s="7" t="n">
        <f aca="false">COUNTIFS(Calendário!$C$5:$C$400,$A15,Calendário!$N$5:$N$400,"Vídeo")</f>
        <v>2</v>
      </c>
      <c r="G15" s="7" t="n">
        <f aca="false">COUNTIFS(Calendário!$C$5:$C$400,$A15,Calendário!$E$5:$E$400,"Institucional")</f>
        <v>2</v>
      </c>
      <c r="H15" s="7" t="n">
        <f aca="false">COUNTIFS(Calendário!$C$5:$C$400,$A15,Calendário!$E$5:$E$400,"Produto")</f>
        <v>1</v>
      </c>
      <c r="I15" s="7" t="n">
        <f aca="false">COUNTIFS(Calendário!$C$5:$C$400,$A15,Calendário!$E$5:$E$400,"Projetos, eventos e entregas")</f>
        <v>1</v>
      </c>
    </row>
    <row r="16" customFormat="false" ht="15" hidden="false" customHeight="false" outlineLevel="0" collapsed="false">
      <c r="A16" s="7" t="n">
        <v>2</v>
      </c>
      <c r="B16" s="7" t="s">
        <v>61</v>
      </c>
      <c r="C16" s="7" t="s">
        <v>62</v>
      </c>
      <c r="D16" s="7" t="s">
        <v>63</v>
      </c>
      <c r="E16" s="7" t="n">
        <f aca="false">COUNTIFS(Calendário!$C$5:$C$400,$A16)</f>
        <v>4</v>
      </c>
      <c r="F16" s="7" t="n">
        <f aca="false">COUNTIFS(Calendário!$C$5:$C$400,$A16,Calendário!$N$5:$N$400,"Vídeo")</f>
        <v>2</v>
      </c>
      <c r="G16" s="7" t="n">
        <f aca="false">COUNTIFS(Calendário!$C$5:$C$400,$A16,Calendário!$E$5:$E$400,"Institucional")</f>
        <v>1</v>
      </c>
      <c r="H16" s="7" t="n">
        <f aca="false">COUNTIFS(Calendário!$C$5:$C$400,$A16,Calendário!$E$5:$E$400,"Produto")</f>
        <v>2</v>
      </c>
      <c r="I16" s="7" t="n">
        <f aca="false">COUNTIFS(Calendário!$C$5:$C$400,$A16,Calendário!$E$5:$E$400,"Projetos, eventos e entregas")</f>
        <v>1</v>
      </c>
    </row>
    <row r="17" customFormat="false" ht="23.85" hidden="false" customHeight="false" outlineLevel="0" collapsed="false">
      <c r="A17" s="7" t="n">
        <v>3</v>
      </c>
      <c r="B17" s="7" t="s">
        <v>64</v>
      </c>
      <c r="C17" s="7" t="s">
        <v>65</v>
      </c>
      <c r="D17" s="7" t="s">
        <v>66</v>
      </c>
      <c r="E17" s="7" t="n">
        <f aca="false">COUNTIFS(Calendário!$C$5:$C$400,$A17)</f>
        <v>4</v>
      </c>
      <c r="F17" s="7" t="n">
        <f aca="false">COUNTIFS(Calendário!$C$5:$C$400,$A17,Calendário!$N$5:$N$400,"Vídeo")</f>
        <v>2</v>
      </c>
      <c r="G17" s="7" t="n">
        <f aca="false">COUNTIFS(Calendário!$C$5:$C$400,$A17,Calendário!$E$5:$E$400,"Institucional")</f>
        <v>1</v>
      </c>
      <c r="H17" s="7" t="n">
        <f aca="false">COUNTIFS(Calendário!$C$5:$C$400,$A17,Calendário!$E$5:$E$400,"Produto")</f>
        <v>1</v>
      </c>
      <c r="I17" s="7" t="n">
        <f aca="false">COUNTIFS(Calendário!$C$5:$C$400,$A17,Calendário!$E$5:$E$400,"Projetos, eventos e entregas")</f>
        <v>2</v>
      </c>
    </row>
    <row r="18" customFormat="false" ht="23.85" hidden="false" customHeight="false" outlineLevel="0" collapsed="false">
      <c r="A18" s="7" t="n">
        <v>4</v>
      </c>
      <c r="B18" s="7" t="s">
        <v>67</v>
      </c>
      <c r="C18" s="7" t="s">
        <v>68</v>
      </c>
      <c r="D18" s="7" t="s">
        <v>69</v>
      </c>
      <c r="E18" s="7" t="n">
        <f aca="false">COUNTIFS(Calendário!$C$5:$C$400,$A18)</f>
        <v>4</v>
      </c>
      <c r="F18" s="7" t="n">
        <f aca="false">COUNTIFS(Calendário!$C$5:$C$400,$A18,Calendário!$N$5:$N$400,"Vídeo")</f>
        <v>2</v>
      </c>
      <c r="G18" s="7" t="n">
        <f aca="false">COUNTIFS(Calendário!$C$5:$C$400,$A18,Calendário!$E$5:$E$400,"Institucional")</f>
        <v>1</v>
      </c>
      <c r="H18" s="7" t="n">
        <f aca="false">COUNTIFS(Calendário!$C$5:$C$400,$A18,Calendário!$E$5:$E$400,"Produto")</f>
        <v>2</v>
      </c>
      <c r="I18" s="7" t="n">
        <f aca="false">COUNTIFS(Calendário!$C$5:$C$400,$A18,Calendário!$E$5:$E$400,"Projetos, eventos e entregas")</f>
        <v>1</v>
      </c>
    </row>
    <row r="19" customFormat="false" ht="15" hidden="false" customHeight="false" outlineLevel="0" collapsed="false">
      <c r="A19" s="10" t="s">
        <v>53</v>
      </c>
      <c r="E19" s="11" t="n">
        <f aca="false">SUM(E15:E18)</f>
        <v>16</v>
      </c>
      <c r="F19" s="11" t="n">
        <f aca="false">SUM(F15:F18)</f>
        <v>8</v>
      </c>
      <c r="G19" s="11" t="n">
        <f aca="false">SUM(G15:G18)</f>
        <v>5</v>
      </c>
      <c r="H19" s="11" t="n">
        <f aca="false">SUM(H15:H18)</f>
        <v>6</v>
      </c>
      <c r="I19" s="11" t="n">
        <f aca="false">SUM(I15:I18)</f>
        <v>5</v>
      </c>
    </row>
    <row r="21" customFormat="false" ht="15" hidden="false" customHeight="false" outlineLevel="0" collapsed="false">
      <c r="A21" s="8" t="s">
        <v>70</v>
      </c>
    </row>
    <row r="22" customFormat="false" ht="15" hidden="false" customHeight="false" outlineLevel="0" collapsed="false">
      <c r="A22" s="12" t="s">
        <v>71</v>
      </c>
      <c r="B22" s="12" t="s">
        <v>72</v>
      </c>
      <c r="D22" s="12" t="s">
        <v>50</v>
      </c>
      <c r="E22" s="12" t="s">
        <v>72</v>
      </c>
      <c r="G22" s="12" t="s">
        <v>73</v>
      </c>
    </row>
    <row r="23" customFormat="false" ht="15" hidden="false" customHeight="false" outlineLevel="0" collapsed="false">
      <c r="A23" s="13" t="s">
        <v>74</v>
      </c>
      <c r="B23" s="13" t="n">
        <f aca="false">COUNTIFS(Calendário!$F$5:$F$400,$A23)</f>
        <v>6</v>
      </c>
      <c r="D23" s="13" t="s">
        <v>75</v>
      </c>
      <c r="E23" s="13" t="n">
        <f aca="false">COUNTIFS(Calendário!$G$5:$G$400,$D23)</f>
        <v>2</v>
      </c>
      <c r="G23" s="13" t="n">
        <f aca="false">SUMPRODUCT((Calendário!$B$5:$B$400&lt;&gt;"")*ISNUMBER(SEARCH("responsável médica",Calendário!$T$5:$T$400)))</f>
        <v>4</v>
      </c>
    </row>
    <row r="24" customFormat="false" ht="15" hidden="false" customHeight="false" outlineLevel="0" collapsed="false">
      <c r="A24" s="13" t="s">
        <v>76</v>
      </c>
      <c r="B24" s="13" t="n">
        <f aca="false">COUNTIFS(Calendário!$F$5:$F$400,$A24)</f>
        <v>6</v>
      </c>
      <c r="D24" s="13" t="s">
        <v>77</v>
      </c>
      <c r="E24" s="13" t="n">
        <f aca="false">COUNTIFS(Calendário!$G$5:$G$400,$D24)</f>
        <v>2</v>
      </c>
    </row>
    <row r="25" customFormat="false" ht="15" hidden="false" customHeight="false" outlineLevel="0" collapsed="false">
      <c r="A25" s="13" t="s">
        <v>78</v>
      </c>
      <c r="B25" s="13" t="n">
        <f aca="false">COUNTIFS(Calendário!$F$5:$F$400,$A25)</f>
        <v>4</v>
      </c>
      <c r="D25" s="13" t="s">
        <v>61</v>
      </c>
      <c r="E25" s="13" t="n">
        <f aca="false">COUNTIFS(Calendário!$G$5:$G$400,$D25)</f>
        <v>4</v>
      </c>
    </row>
    <row r="26" customFormat="false" ht="15" hidden="false" customHeight="false" outlineLevel="0" collapsed="false">
      <c r="A26" s="13" t="s">
        <v>79</v>
      </c>
      <c r="B26" s="13" t="n">
        <f aca="false">COUNTIFS(Calendário!$F$5:$F$400,$A26)</f>
        <v>0</v>
      </c>
      <c r="D26" s="13" t="s">
        <v>64</v>
      </c>
      <c r="E26" s="13" t="n">
        <f aca="false">COUNTIFS(Calendário!$G$5:$G$400,$D26)</f>
        <v>4</v>
      </c>
    </row>
    <row r="27" customFormat="false" ht="15" hidden="false" customHeight="false" outlineLevel="0" collapsed="false">
      <c r="A27" s="13" t="s">
        <v>80</v>
      </c>
      <c r="B27" s="13" t="n">
        <f aca="false">COUNTIFS(Calendário!$F$5:$F$400,$A27)</f>
        <v>0</v>
      </c>
      <c r="D27" s="13" t="s">
        <v>67</v>
      </c>
      <c r="E27" s="13" t="n">
        <f aca="false">COUNTIFS(Calendário!$G$5:$G$400,$D27)</f>
        <v>4</v>
      </c>
    </row>
    <row r="28" customFormat="false" ht="15" hidden="false" customHeight="false" outlineLevel="0" collapsed="false">
      <c r="A28" s="13" t="s">
        <v>81</v>
      </c>
      <c r="B28" s="13" t="n">
        <f aca="false">COUNTIFS(Calendário!$F$5:$F$400,$A28)</f>
        <v>0</v>
      </c>
    </row>
  </sheetData>
  <mergeCells count="8">
    <mergeCell ref="B4:H4"/>
    <mergeCell ref="B5:H5"/>
    <mergeCell ref="B6:H6"/>
    <mergeCell ref="B7:H7"/>
    <mergeCell ref="B8:H8"/>
    <mergeCell ref="B9:H9"/>
    <mergeCell ref="B10:H10"/>
    <mergeCell ref="B11:H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0" ySplit="4" topLeftCell="K5" activePane="bottomRight" state="frozen"/>
      <selection pane="topLeft" activeCell="A1" activeCellId="0" sqref="A1"/>
      <selection pane="topRight" activeCell="K1" activeCellId="0" sqref="K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3" min="1" style="0" width="8"/>
    <col collapsed="false" customWidth="true" hidden="false" outlineLevel="0" max="4" min="4" style="0" width="12"/>
    <col collapsed="false" customWidth="true" hidden="false" outlineLevel="0" max="6" min="5" style="0" width="16"/>
    <col collapsed="false" customWidth="true" hidden="false" outlineLevel="0" max="7" min="7" style="0" width="11"/>
    <col collapsed="false" customWidth="true" hidden="false" outlineLevel="0" max="8" min="8" style="0" width="20"/>
    <col collapsed="false" customWidth="true" hidden="false" outlineLevel="0" max="9" min="9" style="0" width="22"/>
    <col collapsed="false" customWidth="true" hidden="false" outlineLevel="0" max="10" min="10" style="0" width="36"/>
    <col collapsed="false" customWidth="true" hidden="false" outlineLevel="0" max="11" min="11" style="0" width="20"/>
    <col collapsed="false" customWidth="true" hidden="false" outlineLevel="0" max="12" min="12" style="0" width="34"/>
    <col collapsed="false" customWidth="true" hidden="false" outlineLevel="0" max="13" min="13" style="0" width="28"/>
    <col collapsed="false" customWidth="true" hidden="false" outlineLevel="0" max="14" min="14" style="0" width="11"/>
    <col collapsed="false" customWidth="true" hidden="false" outlineLevel="0" max="15" min="15" style="0" width="40"/>
    <col collapsed="false" customWidth="true" hidden="false" outlineLevel="0" max="16" min="16" style="0" width="18"/>
    <col collapsed="false" customWidth="true" hidden="false" outlineLevel="0" max="17" min="17" style="0" width="24"/>
    <col collapsed="false" customWidth="true" hidden="false" outlineLevel="0" max="18" min="18" style="0" width="44"/>
    <col collapsed="false" customWidth="true" hidden="false" outlineLevel="0" max="19" min="19" style="0" width="34"/>
    <col collapsed="false" customWidth="true" hidden="false" outlineLevel="0" max="20" min="20" style="0" width="40"/>
    <col collapsed="false" customWidth="true" hidden="false" outlineLevel="0" max="21" min="21" style="0" width="16"/>
    <col collapsed="false" customWidth="true" hidden="false" outlineLevel="0" max="23" min="22" style="0" width="50"/>
    <col collapsed="false" customWidth="true" hidden="false" outlineLevel="0" max="24" min="24" style="0" width="40"/>
    <col collapsed="false" customWidth="true" hidden="false" outlineLevel="0" max="25" min="25" style="0" width="14"/>
    <col collapsed="false" customWidth="true" hidden="false" outlineLevel="0" max="26" min="26" style="0" width="36"/>
  </cols>
  <sheetData>
    <row r="1" customFormat="false" ht="17.35" hidden="false" customHeight="false" outlineLevel="0" collapsed="false">
      <c r="A1" s="4" t="s">
        <v>82</v>
      </c>
    </row>
    <row r="2" customFormat="false" ht="15" hidden="false" customHeight="false" outlineLevel="0" collapsed="false">
      <c r="A2" s="14" t="s">
        <v>83</v>
      </c>
      <c r="B2" s="14"/>
      <c r="C2" s="14"/>
      <c r="D2" s="15" t="n">
        <v>46314</v>
      </c>
      <c r="E2" s="5" t="s">
        <v>84</v>
      </c>
    </row>
    <row r="4" customFormat="false" ht="30" hidden="false" customHeight="true" outlineLevel="0" collapsed="false">
      <c r="A4" s="9" t="s">
        <v>85</v>
      </c>
      <c r="B4" s="9" t="s">
        <v>33</v>
      </c>
      <c r="C4" s="9" t="s">
        <v>49</v>
      </c>
      <c r="D4" s="9" t="s">
        <v>86</v>
      </c>
      <c r="E4" s="9" t="s">
        <v>87</v>
      </c>
      <c r="F4" s="9" t="s">
        <v>71</v>
      </c>
      <c r="G4" s="9" t="s">
        <v>50</v>
      </c>
      <c r="H4" s="9" t="s">
        <v>88</v>
      </c>
      <c r="I4" s="9" t="s">
        <v>89</v>
      </c>
      <c r="J4" s="9" t="s">
        <v>90</v>
      </c>
      <c r="K4" s="9" t="s">
        <v>91</v>
      </c>
      <c r="L4" s="9" t="s">
        <v>92</v>
      </c>
      <c r="M4" s="9" t="s">
        <v>93</v>
      </c>
      <c r="N4" s="9" t="s">
        <v>94</v>
      </c>
      <c r="O4" s="9" t="s">
        <v>95</v>
      </c>
      <c r="P4" s="9" t="s">
        <v>96</v>
      </c>
      <c r="Q4" s="9" t="s">
        <v>97</v>
      </c>
      <c r="R4" s="9" t="s">
        <v>98</v>
      </c>
      <c r="S4" s="9" t="s">
        <v>99</v>
      </c>
      <c r="T4" s="9" t="s">
        <v>100</v>
      </c>
      <c r="U4" s="9" t="s">
        <v>101</v>
      </c>
      <c r="V4" s="9" t="s">
        <v>102</v>
      </c>
      <c r="W4" s="9" t="s">
        <v>103</v>
      </c>
      <c r="X4" s="9" t="s">
        <v>104</v>
      </c>
      <c r="Y4" s="9" t="s">
        <v>105</v>
      </c>
      <c r="Z4" s="9" t="s">
        <v>106</v>
      </c>
    </row>
    <row r="5" customFormat="false" ht="158.2" hidden="false" customHeight="false" outlineLevel="0" collapsed="false">
      <c r="A5" s="7" t="s">
        <v>107</v>
      </c>
      <c r="B5" s="7" t="s">
        <v>34</v>
      </c>
      <c r="C5" s="7" t="n">
        <v>1</v>
      </c>
      <c r="D5" s="16" t="n">
        <f aca="false">$D$2+(C5-1)*7+0</f>
        <v>46314</v>
      </c>
      <c r="E5" s="7" t="s">
        <v>55</v>
      </c>
      <c r="F5" s="7" t="s">
        <v>74</v>
      </c>
      <c r="G5" s="7" t="s">
        <v>75</v>
      </c>
      <c r="H5" s="7" t="s">
        <v>108</v>
      </c>
      <c r="I5" s="7"/>
      <c r="J5" s="7" t="s">
        <v>109</v>
      </c>
      <c r="K5" s="7" t="s">
        <v>110</v>
      </c>
      <c r="L5" s="7" t="s">
        <v>111</v>
      </c>
      <c r="M5" s="7" t="s">
        <v>112</v>
      </c>
      <c r="N5" s="7" t="s">
        <v>113</v>
      </c>
      <c r="O5" s="7" t="s">
        <v>114</v>
      </c>
      <c r="P5" s="7" t="s">
        <v>115</v>
      </c>
      <c r="Q5" s="7" t="s">
        <v>116</v>
      </c>
      <c r="R5" s="7" t="s">
        <v>117</v>
      </c>
      <c r="S5" s="7" t="s">
        <v>118</v>
      </c>
      <c r="T5" s="7" t="s">
        <v>119</v>
      </c>
      <c r="U5" s="7" t="s">
        <v>120</v>
      </c>
      <c r="V5" s="7" t="s">
        <v>121</v>
      </c>
      <c r="W5" s="7" t="s">
        <v>122</v>
      </c>
      <c r="X5" s="7" t="s">
        <v>123</v>
      </c>
      <c r="Y5" s="7"/>
      <c r="Z5" s="7" t="s">
        <v>124</v>
      </c>
    </row>
    <row r="6" customFormat="false" ht="202.95" hidden="false" customHeight="false" outlineLevel="0" collapsed="false">
      <c r="A6" s="7" t="s">
        <v>125</v>
      </c>
      <c r="B6" s="7" t="s">
        <v>34</v>
      </c>
      <c r="C6" s="7" t="n">
        <v>1</v>
      </c>
      <c r="D6" s="16" t="n">
        <f aca="false">$D$2+(C6-1)*7+1</f>
        <v>46315</v>
      </c>
      <c r="E6" s="7" t="s">
        <v>56</v>
      </c>
      <c r="F6" s="7" t="s">
        <v>74</v>
      </c>
      <c r="G6" s="7" t="s">
        <v>75</v>
      </c>
      <c r="H6" s="7" t="s">
        <v>126</v>
      </c>
      <c r="I6" s="7" t="s">
        <v>127</v>
      </c>
      <c r="J6" s="7" t="s">
        <v>128</v>
      </c>
      <c r="K6" s="7" t="s">
        <v>129</v>
      </c>
      <c r="L6" s="7" t="s">
        <v>130</v>
      </c>
      <c r="M6" s="7" t="s">
        <v>131</v>
      </c>
      <c r="N6" s="7" t="s">
        <v>132</v>
      </c>
      <c r="O6" s="7" t="s">
        <v>133</v>
      </c>
      <c r="P6" s="7" t="s">
        <v>115</v>
      </c>
      <c r="Q6" s="7" t="s">
        <v>116</v>
      </c>
      <c r="R6" s="7" t="s">
        <v>134</v>
      </c>
      <c r="S6" s="7" t="s">
        <v>135</v>
      </c>
      <c r="T6" s="7" t="s">
        <v>136</v>
      </c>
      <c r="U6" s="7" t="s">
        <v>137</v>
      </c>
      <c r="V6" s="7" t="s">
        <v>138</v>
      </c>
      <c r="W6" s="7" t="s">
        <v>139</v>
      </c>
      <c r="X6" s="7" t="s">
        <v>140</v>
      </c>
      <c r="Y6" s="7"/>
      <c r="Z6" s="7" t="s">
        <v>141</v>
      </c>
    </row>
    <row r="7" customFormat="false" ht="158.2" hidden="false" customHeight="false" outlineLevel="0" collapsed="false">
      <c r="A7" s="7" t="s">
        <v>142</v>
      </c>
      <c r="B7" s="7" t="s">
        <v>34</v>
      </c>
      <c r="C7" s="7" t="n">
        <v>1</v>
      </c>
      <c r="D7" s="16" t="n">
        <f aca="false">$D$2+(C7-1)*7+3</f>
        <v>46317</v>
      </c>
      <c r="E7" s="7" t="s">
        <v>55</v>
      </c>
      <c r="F7" s="7" t="s">
        <v>76</v>
      </c>
      <c r="G7" s="7" t="s">
        <v>77</v>
      </c>
      <c r="H7" s="7" t="s">
        <v>143</v>
      </c>
      <c r="I7" s="7"/>
      <c r="J7" s="7" t="s">
        <v>144</v>
      </c>
      <c r="K7" s="7" t="s">
        <v>145</v>
      </c>
      <c r="L7" s="7" t="s">
        <v>146</v>
      </c>
      <c r="M7" s="7" t="s">
        <v>147</v>
      </c>
      <c r="N7" s="7" t="s">
        <v>113</v>
      </c>
      <c r="O7" s="7" t="s">
        <v>148</v>
      </c>
      <c r="P7" s="7" t="s">
        <v>115</v>
      </c>
      <c r="Q7" s="7" t="s">
        <v>116</v>
      </c>
      <c r="R7" s="7" t="s">
        <v>149</v>
      </c>
      <c r="S7" s="7" t="s">
        <v>150</v>
      </c>
      <c r="T7" s="7" t="s">
        <v>151</v>
      </c>
      <c r="U7" s="7" t="s">
        <v>152</v>
      </c>
      <c r="V7" s="7" t="s">
        <v>153</v>
      </c>
      <c r="W7" s="7" t="s">
        <v>154</v>
      </c>
      <c r="X7" s="7" t="s">
        <v>155</v>
      </c>
      <c r="Y7" s="7"/>
      <c r="Z7" s="7"/>
    </row>
    <row r="8" customFormat="false" ht="236.55" hidden="false" customHeight="false" outlineLevel="0" collapsed="false">
      <c r="A8" s="7" t="s">
        <v>156</v>
      </c>
      <c r="B8" s="7" t="s">
        <v>34</v>
      </c>
      <c r="C8" s="7" t="n">
        <v>1</v>
      </c>
      <c r="D8" s="16" t="n">
        <f aca="false">$D$2+(C8-1)*7+4</f>
        <v>46318</v>
      </c>
      <c r="E8" s="7" t="s">
        <v>157</v>
      </c>
      <c r="F8" s="7" t="s">
        <v>78</v>
      </c>
      <c r="G8" s="7" t="s">
        <v>77</v>
      </c>
      <c r="H8" s="7" t="s">
        <v>158</v>
      </c>
      <c r="I8" s="7" t="s">
        <v>159</v>
      </c>
      <c r="J8" s="7" t="s">
        <v>160</v>
      </c>
      <c r="K8" s="7" t="s">
        <v>161</v>
      </c>
      <c r="L8" s="7" t="s">
        <v>162</v>
      </c>
      <c r="M8" s="7" t="s">
        <v>163</v>
      </c>
      <c r="N8" s="7" t="s">
        <v>132</v>
      </c>
      <c r="O8" s="7" t="s">
        <v>164</v>
      </c>
      <c r="P8" s="7" t="s">
        <v>115</v>
      </c>
      <c r="Q8" s="7" t="s">
        <v>165</v>
      </c>
      <c r="R8" s="7" t="s">
        <v>166</v>
      </c>
      <c r="S8" s="7" t="s">
        <v>167</v>
      </c>
      <c r="T8" s="7" t="s">
        <v>168</v>
      </c>
      <c r="U8" s="7" t="s">
        <v>152</v>
      </c>
      <c r="V8" s="7" t="s">
        <v>169</v>
      </c>
      <c r="W8" s="7" t="s">
        <v>170</v>
      </c>
      <c r="X8" s="7" t="s">
        <v>171</v>
      </c>
      <c r="Y8" s="7"/>
      <c r="Z8" s="7"/>
    </row>
    <row r="9" customFormat="false" ht="68.65" hidden="false" customHeight="false" outlineLevel="0" collapsed="false">
      <c r="A9" s="7" t="s">
        <v>172</v>
      </c>
      <c r="B9" s="7" t="s">
        <v>34</v>
      </c>
      <c r="C9" s="7" t="n">
        <v>2</v>
      </c>
      <c r="D9" s="16" t="n">
        <f aca="false">$D$2+(C9-1)*7+0</f>
        <v>46321</v>
      </c>
      <c r="E9" s="7" t="s">
        <v>56</v>
      </c>
      <c r="F9" s="7" t="s">
        <v>76</v>
      </c>
      <c r="G9" s="7" t="s">
        <v>61</v>
      </c>
      <c r="H9" s="7" t="s">
        <v>173</v>
      </c>
      <c r="I9" s="7" t="s">
        <v>174</v>
      </c>
      <c r="J9" s="7" t="s">
        <v>175</v>
      </c>
      <c r="K9" s="7" t="s">
        <v>110</v>
      </c>
      <c r="L9" s="7" t="s">
        <v>176</v>
      </c>
      <c r="M9" s="7" t="s">
        <v>177</v>
      </c>
      <c r="N9" s="7" t="s">
        <v>113</v>
      </c>
      <c r="O9" s="7" t="s">
        <v>178</v>
      </c>
      <c r="P9" s="7" t="s">
        <v>115</v>
      </c>
      <c r="Q9" s="7" t="s">
        <v>116</v>
      </c>
      <c r="R9" s="7" t="s">
        <v>179</v>
      </c>
      <c r="S9" s="7" t="s">
        <v>180</v>
      </c>
      <c r="T9" s="7" t="s">
        <v>181</v>
      </c>
      <c r="U9" s="7" t="s">
        <v>152</v>
      </c>
      <c r="V9" s="7"/>
      <c r="W9" s="7" t="s">
        <v>182</v>
      </c>
      <c r="X9" s="7" t="s">
        <v>183</v>
      </c>
      <c r="Y9" s="7"/>
      <c r="Z9" s="7"/>
    </row>
    <row r="10" customFormat="false" ht="124.6" hidden="false" customHeight="false" outlineLevel="0" collapsed="false">
      <c r="A10" s="7" t="s">
        <v>184</v>
      </c>
      <c r="B10" s="7" t="s">
        <v>34</v>
      </c>
      <c r="C10" s="7" t="n">
        <v>2</v>
      </c>
      <c r="D10" s="16" t="n">
        <f aca="false">$D$2+(C10-1)*7+1</f>
        <v>46322</v>
      </c>
      <c r="E10" s="7" t="s">
        <v>55</v>
      </c>
      <c r="F10" s="7" t="s">
        <v>76</v>
      </c>
      <c r="G10" s="7" t="s">
        <v>61</v>
      </c>
      <c r="H10" s="7" t="s">
        <v>185</v>
      </c>
      <c r="I10" s="7"/>
      <c r="J10" s="7" t="s">
        <v>43</v>
      </c>
      <c r="K10" s="7" t="s">
        <v>186</v>
      </c>
      <c r="L10" s="7" t="s">
        <v>187</v>
      </c>
      <c r="M10" s="7" t="s">
        <v>188</v>
      </c>
      <c r="N10" s="7" t="s">
        <v>132</v>
      </c>
      <c r="O10" s="7" t="s">
        <v>189</v>
      </c>
      <c r="P10" s="7" t="s">
        <v>115</v>
      </c>
      <c r="Q10" s="7" t="s">
        <v>116</v>
      </c>
      <c r="R10" s="7" t="s">
        <v>190</v>
      </c>
      <c r="S10" s="7" t="s">
        <v>191</v>
      </c>
      <c r="T10" s="7" t="s">
        <v>192</v>
      </c>
      <c r="U10" s="7" t="s">
        <v>152</v>
      </c>
      <c r="V10" s="7"/>
      <c r="W10" s="7" t="s">
        <v>193</v>
      </c>
      <c r="X10" s="7" t="s">
        <v>194</v>
      </c>
      <c r="Y10" s="7"/>
      <c r="Z10" s="7"/>
    </row>
    <row r="11" customFormat="false" ht="68.65" hidden="false" customHeight="false" outlineLevel="0" collapsed="false">
      <c r="A11" s="7" t="s">
        <v>195</v>
      </c>
      <c r="B11" s="7" t="s">
        <v>34</v>
      </c>
      <c r="C11" s="7" t="n">
        <v>2</v>
      </c>
      <c r="D11" s="16" t="n">
        <f aca="false">$D$2+(C11-1)*7+3</f>
        <v>46324</v>
      </c>
      <c r="E11" s="7" t="s">
        <v>157</v>
      </c>
      <c r="F11" s="7" t="s">
        <v>78</v>
      </c>
      <c r="G11" s="7" t="s">
        <v>61</v>
      </c>
      <c r="H11" s="7" t="s">
        <v>196</v>
      </c>
      <c r="I11" s="7" t="s">
        <v>197</v>
      </c>
      <c r="J11" s="7" t="s">
        <v>198</v>
      </c>
      <c r="K11" s="7" t="s">
        <v>199</v>
      </c>
      <c r="L11" s="7" t="s">
        <v>200</v>
      </c>
      <c r="M11" s="7" t="s">
        <v>201</v>
      </c>
      <c r="N11" s="7" t="s">
        <v>113</v>
      </c>
      <c r="O11" s="7" t="s">
        <v>202</v>
      </c>
      <c r="P11" s="7" t="s">
        <v>115</v>
      </c>
      <c r="Q11" s="7" t="s">
        <v>203</v>
      </c>
      <c r="R11" s="7" t="s">
        <v>204</v>
      </c>
      <c r="S11" s="7" t="s">
        <v>205</v>
      </c>
      <c r="T11" s="7" t="s">
        <v>206</v>
      </c>
      <c r="U11" s="7" t="s">
        <v>152</v>
      </c>
      <c r="V11" s="7"/>
      <c r="W11" s="7" t="s">
        <v>207</v>
      </c>
      <c r="X11" s="7" t="s">
        <v>208</v>
      </c>
      <c r="Y11" s="7"/>
      <c r="Z11" s="7"/>
    </row>
    <row r="12" customFormat="false" ht="35.05" hidden="false" customHeight="false" outlineLevel="0" collapsed="false">
      <c r="A12" s="7" t="s">
        <v>209</v>
      </c>
      <c r="B12" s="7" t="s">
        <v>34</v>
      </c>
      <c r="C12" s="7" t="n">
        <v>2</v>
      </c>
      <c r="D12" s="16" t="n">
        <f aca="false">$D$2+(C12-1)*7+4</f>
        <v>46325</v>
      </c>
      <c r="E12" s="7" t="s">
        <v>56</v>
      </c>
      <c r="F12" s="7" t="s">
        <v>74</v>
      </c>
      <c r="G12" s="7" t="s">
        <v>61</v>
      </c>
      <c r="H12" s="7" t="s">
        <v>210</v>
      </c>
      <c r="I12" s="7" t="s">
        <v>211</v>
      </c>
      <c r="J12" s="7" t="s">
        <v>212</v>
      </c>
      <c r="K12" s="7" t="s">
        <v>129</v>
      </c>
      <c r="L12" s="7" t="s">
        <v>213</v>
      </c>
      <c r="M12" s="7" t="s">
        <v>214</v>
      </c>
      <c r="N12" s="7" t="s">
        <v>132</v>
      </c>
      <c r="O12" s="7" t="s">
        <v>215</v>
      </c>
      <c r="P12" s="7" t="s">
        <v>115</v>
      </c>
      <c r="Q12" s="7" t="s">
        <v>116</v>
      </c>
      <c r="R12" s="7" t="s">
        <v>216</v>
      </c>
      <c r="S12" s="7" t="s">
        <v>135</v>
      </c>
      <c r="T12" s="7" t="s">
        <v>217</v>
      </c>
      <c r="U12" s="7" t="s">
        <v>152</v>
      </c>
      <c r="V12" s="7"/>
      <c r="W12" s="7" t="s">
        <v>218</v>
      </c>
      <c r="X12" s="7" t="s">
        <v>219</v>
      </c>
      <c r="Y12" s="7"/>
      <c r="Z12" s="7"/>
    </row>
    <row r="13" customFormat="false" ht="68.65" hidden="false" customHeight="false" outlineLevel="0" collapsed="false">
      <c r="A13" s="7" t="s">
        <v>220</v>
      </c>
      <c r="B13" s="7" t="s">
        <v>34</v>
      </c>
      <c r="C13" s="7" t="n">
        <v>3</v>
      </c>
      <c r="D13" s="16" t="n">
        <f aca="false">$D$2+(C13-1)*7+1</f>
        <v>46329</v>
      </c>
      <c r="E13" s="7" t="s">
        <v>157</v>
      </c>
      <c r="F13" s="7" t="s">
        <v>76</v>
      </c>
      <c r="G13" s="7" t="s">
        <v>64</v>
      </c>
      <c r="H13" s="7" t="s">
        <v>221</v>
      </c>
      <c r="I13" s="7"/>
      <c r="J13" s="7" t="s">
        <v>222</v>
      </c>
      <c r="K13" s="7" t="s">
        <v>223</v>
      </c>
      <c r="L13" s="7" t="s">
        <v>224</v>
      </c>
      <c r="M13" s="7" t="s">
        <v>225</v>
      </c>
      <c r="N13" s="7" t="s">
        <v>113</v>
      </c>
      <c r="O13" s="7" t="s">
        <v>226</v>
      </c>
      <c r="P13" s="7" t="s">
        <v>115</v>
      </c>
      <c r="Q13" s="7" t="s">
        <v>116</v>
      </c>
      <c r="R13" s="7" t="s">
        <v>227</v>
      </c>
      <c r="S13" s="7" t="s">
        <v>228</v>
      </c>
      <c r="T13" s="7" t="s">
        <v>229</v>
      </c>
      <c r="U13" s="7" t="s">
        <v>152</v>
      </c>
      <c r="V13" s="7"/>
      <c r="W13" s="7" t="s">
        <v>230</v>
      </c>
      <c r="X13" s="7" t="s">
        <v>231</v>
      </c>
      <c r="Y13" s="7"/>
      <c r="Z13" s="7"/>
    </row>
    <row r="14" customFormat="false" ht="35.05" hidden="false" customHeight="false" outlineLevel="0" collapsed="false">
      <c r="A14" s="7" t="s">
        <v>232</v>
      </c>
      <c r="B14" s="7" t="s">
        <v>34</v>
      </c>
      <c r="C14" s="7" t="n">
        <v>3</v>
      </c>
      <c r="D14" s="16" t="n">
        <f aca="false">$D$2+(C14-1)*7+2</f>
        <v>46330</v>
      </c>
      <c r="E14" s="7" t="s">
        <v>56</v>
      </c>
      <c r="F14" s="7" t="s">
        <v>74</v>
      </c>
      <c r="G14" s="7" t="s">
        <v>64</v>
      </c>
      <c r="H14" s="7" t="s">
        <v>233</v>
      </c>
      <c r="I14" s="7" t="s">
        <v>234</v>
      </c>
      <c r="J14" s="7" t="s">
        <v>235</v>
      </c>
      <c r="K14" s="7" t="s">
        <v>110</v>
      </c>
      <c r="L14" s="7" t="s">
        <v>236</v>
      </c>
      <c r="M14" s="7" t="s">
        <v>237</v>
      </c>
      <c r="N14" s="7" t="s">
        <v>132</v>
      </c>
      <c r="O14" s="7" t="s">
        <v>238</v>
      </c>
      <c r="P14" s="7" t="s">
        <v>115</v>
      </c>
      <c r="Q14" s="7" t="s">
        <v>116</v>
      </c>
      <c r="R14" s="7" t="s">
        <v>239</v>
      </c>
      <c r="S14" s="7" t="s">
        <v>135</v>
      </c>
      <c r="T14" s="7" t="s">
        <v>240</v>
      </c>
      <c r="U14" s="7" t="s">
        <v>137</v>
      </c>
      <c r="V14" s="7"/>
      <c r="W14" s="7"/>
      <c r="X14" s="7" t="s">
        <v>241</v>
      </c>
      <c r="Y14" s="7"/>
      <c r="Z14" s="7"/>
    </row>
    <row r="15" customFormat="false" ht="79.85" hidden="false" customHeight="false" outlineLevel="0" collapsed="false">
      <c r="A15" s="7" t="s">
        <v>242</v>
      </c>
      <c r="B15" s="7" t="s">
        <v>34</v>
      </c>
      <c r="C15" s="7" t="n">
        <v>3</v>
      </c>
      <c r="D15" s="16" t="n">
        <f aca="false">$D$2+(C15-1)*7+3</f>
        <v>46331</v>
      </c>
      <c r="E15" s="7" t="s">
        <v>55</v>
      </c>
      <c r="F15" s="7" t="s">
        <v>74</v>
      </c>
      <c r="G15" s="7" t="s">
        <v>64</v>
      </c>
      <c r="H15" s="7" t="s">
        <v>243</v>
      </c>
      <c r="I15" s="7"/>
      <c r="J15" s="7" t="s">
        <v>244</v>
      </c>
      <c r="K15" s="7" t="s">
        <v>245</v>
      </c>
      <c r="L15" s="7" t="s">
        <v>246</v>
      </c>
      <c r="M15" s="7" t="s">
        <v>247</v>
      </c>
      <c r="N15" s="7" t="s">
        <v>113</v>
      </c>
      <c r="O15" s="7" t="s">
        <v>248</v>
      </c>
      <c r="P15" s="7" t="s">
        <v>115</v>
      </c>
      <c r="Q15" s="7" t="s">
        <v>116</v>
      </c>
      <c r="R15" s="7" t="s">
        <v>249</v>
      </c>
      <c r="S15" s="7" t="s">
        <v>250</v>
      </c>
      <c r="T15" s="7" t="s">
        <v>251</v>
      </c>
      <c r="U15" s="7" t="s">
        <v>152</v>
      </c>
      <c r="V15" s="7"/>
      <c r="W15" s="7" t="s">
        <v>252</v>
      </c>
      <c r="X15" s="7" t="s">
        <v>253</v>
      </c>
      <c r="Y15" s="7"/>
      <c r="Z15" s="7"/>
    </row>
    <row r="16" customFormat="false" ht="46.25" hidden="false" customHeight="false" outlineLevel="0" collapsed="false">
      <c r="A16" s="7" t="s">
        <v>254</v>
      </c>
      <c r="B16" s="7" t="s">
        <v>34</v>
      </c>
      <c r="C16" s="7" t="n">
        <v>3</v>
      </c>
      <c r="D16" s="16" t="n">
        <f aca="false">$D$2+(C16-1)*7+4</f>
        <v>46332</v>
      </c>
      <c r="E16" s="7" t="s">
        <v>157</v>
      </c>
      <c r="F16" s="7" t="s">
        <v>78</v>
      </c>
      <c r="G16" s="7" t="s">
        <v>64</v>
      </c>
      <c r="H16" s="7" t="s">
        <v>158</v>
      </c>
      <c r="I16" s="7" t="s">
        <v>255</v>
      </c>
      <c r="J16" s="7" t="s">
        <v>256</v>
      </c>
      <c r="K16" s="7" t="s">
        <v>145</v>
      </c>
      <c r="L16" s="7" t="s">
        <v>257</v>
      </c>
      <c r="M16" s="7" t="s">
        <v>258</v>
      </c>
      <c r="N16" s="7" t="s">
        <v>259</v>
      </c>
      <c r="O16" s="7" t="s">
        <v>260</v>
      </c>
      <c r="P16" s="7" t="s">
        <v>115</v>
      </c>
      <c r="Q16" s="7" t="s">
        <v>261</v>
      </c>
      <c r="R16" s="7" t="s">
        <v>262</v>
      </c>
      <c r="S16" s="7" t="s">
        <v>167</v>
      </c>
      <c r="T16" s="7" t="s">
        <v>263</v>
      </c>
      <c r="U16" s="7" t="s">
        <v>152</v>
      </c>
      <c r="V16" s="7"/>
      <c r="W16" s="7" t="s">
        <v>264</v>
      </c>
      <c r="X16" s="7" t="s">
        <v>265</v>
      </c>
      <c r="Y16" s="7"/>
      <c r="Z16" s="7"/>
    </row>
    <row r="17" customFormat="false" ht="68.65" hidden="false" customHeight="false" outlineLevel="0" collapsed="false">
      <c r="A17" s="7" t="s">
        <v>266</v>
      </c>
      <c r="B17" s="7" t="s">
        <v>34</v>
      </c>
      <c r="C17" s="7" t="n">
        <v>4</v>
      </c>
      <c r="D17" s="16" t="n">
        <f aca="false">$D$2+(C17-1)*7+0</f>
        <v>46335</v>
      </c>
      <c r="E17" s="7" t="s">
        <v>56</v>
      </c>
      <c r="F17" s="7" t="s">
        <v>76</v>
      </c>
      <c r="G17" s="7" t="s">
        <v>67</v>
      </c>
      <c r="H17" s="7" t="s">
        <v>267</v>
      </c>
      <c r="I17" s="7" t="s">
        <v>268</v>
      </c>
      <c r="J17" s="7" t="s">
        <v>269</v>
      </c>
      <c r="K17" s="7" t="s">
        <v>129</v>
      </c>
      <c r="L17" s="7" t="s">
        <v>270</v>
      </c>
      <c r="M17" s="7" t="s">
        <v>271</v>
      </c>
      <c r="N17" s="7" t="s">
        <v>113</v>
      </c>
      <c r="O17" s="7" t="s">
        <v>272</v>
      </c>
      <c r="P17" s="7" t="s">
        <v>273</v>
      </c>
      <c r="Q17" s="7" t="s">
        <v>116</v>
      </c>
      <c r="R17" s="7" t="s">
        <v>274</v>
      </c>
      <c r="S17" s="7" t="s">
        <v>275</v>
      </c>
      <c r="T17" s="7" t="s">
        <v>276</v>
      </c>
      <c r="U17" s="7" t="s">
        <v>152</v>
      </c>
      <c r="V17" s="7"/>
      <c r="W17" s="7" t="s">
        <v>277</v>
      </c>
      <c r="X17" s="7" t="s">
        <v>278</v>
      </c>
      <c r="Y17" s="7"/>
      <c r="Z17" s="7"/>
    </row>
    <row r="18" customFormat="false" ht="46.25" hidden="false" customHeight="false" outlineLevel="0" collapsed="false">
      <c r="A18" s="7" t="s">
        <v>279</v>
      </c>
      <c r="B18" s="7" t="s">
        <v>34</v>
      </c>
      <c r="C18" s="7" t="n">
        <v>4</v>
      </c>
      <c r="D18" s="16" t="n">
        <f aca="false">$D$2+(C18-1)*7+1</f>
        <v>46336</v>
      </c>
      <c r="E18" s="7" t="s">
        <v>55</v>
      </c>
      <c r="F18" s="7" t="s">
        <v>76</v>
      </c>
      <c r="G18" s="7" t="s">
        <v>67</v>
      </c>
      <c r="H18" s="7" t="s">
        <v>280</v>
      </c>
      <c r="I18" s="7"/>
      <c r="J18" s="7" t="s">
        <v>281</v>
      </c>
      <c r="K18" s="7" t="s">
        <v>282</v>
      </c>
      <c r="L18" s="7" t="s">
        <v>283</v>
      </c>
      <c r="M18" s="7" t="s">
        <v>284</v>
      </c>
      <c r="N18" s="7" t="s">
        <v>259</v>
      </c>
      <c r="O18" s="7" t="s">
        <v>285</v>
      </c>
      <c r="P18" s="7" t="s">
        <v>115</v>
      </c>
      <c r="Q18" s="7" t="s">
        <v>116</v>
      </c>
      <c r="R18" s="7" t="s">
        <v>286</v>
      </c>
      <c r="S18" s="7" t="s">
        <v>287</v>
      </c>
      <c r="T18" s="7" t="s">
        <v>288</v>
      </c>
      <c r="U18" s="7" t="s">
        <v>152</v>
      </c>
      <c r="V18" s="7"/>
      <c r="W18" s="7" t="s">
        <v>289</v>
      </c>
      <c r="X18" s="7" t="s">
        <v>290</v>
      </c>
      <c r="Y18" s="7"/>
      <c r="Z18" s="7"/>
    </row>
    <row r="19" customFormat="false" ht="68.65" hidden="false" customHeight="false" outlineLevel="0" collapsed="false">
      <c r="A19" s="7" t="s">
        <v>291</v>
      </c>
      <c r="B19" s="7" t="s">
        <v>34</v>
      </c>
      <c r="C19" s="7" t="n">
        <v>4</v>
      </c>
      <c r="D19" s="16" t="n">
        <f aca="false">$D$2+(C19-1)*7+3</f>
        <v>46338</v>
      </c>
      <c r="E19" s="7" t="s">
        <v>157</v>
      </c>
      <c r="F19" s="7" t="s">
        <v>74</v>
      </c>
      <c r="G19" s="7" t="s">
        <v>67</v>
      </c>
      <c r="H19" s="7" t="s">
        <v>292</v>
      </c>
      <c r="I19" s="7" t="s">
        <v>293</v>
      </c>
      <c r="J19" s="7" t="s">
        <v>294</v>
      </c>
      <c r="K19" s="7" t="s">
        <v>223</v>
      </c>
      <c r="L19" s="7" t="s">
        <v>295</v>
      </c>
      <c r="M19" s="7" t="s">
        <v>296</v>
      </c>
      <c r="N19" s="7" t="s">
        <v>113</v>
      </c>
      <c r="O19" s="7" t="s">
        <v>297</v>
      </c>
      <c r="P19" s="7" t="s">
        <v>115</v>
      </c>
      <c r="Q19" s="7" t="s">
        <v>116</v>
      </c>
      <c r="R19" s="7" t="s">
        <v>298</v>
      </c>
      <c r="S19" s="7" t="s">
        <v>299</v>
      </c>
      <c r="T19" s="7" t="s">
        <v>300</v>
      </c>
      <c r="U19" s="7" t="s">
        <v>152</v>
      </c>
      <c r="V19" s="7"/>
      <c r="W19" s="7" t="s">
        <v>301</v>
      </c>
      <c r="X19" s="7" t="s">
        <v>302</v>
      </c>
      <c r="Y19" s="7"/>
      <c r="Z19" s="7"/>
    </row>
    <row r="20" customFormat="false" ht="91" hidden="false" customHeight="false" outlineLevel="0" collapsed="false">
      <c r="A20" s="7" t="s">
        <v>303</v>
      </c>
      <c r="B20" s="7" t="s">
        <v>34</v>
      </c>
      <c r="C20" s="7" t="n">
        <v>4</v>
      </c>
      <c r="D20" s="16" t="n">
        <f aca="false">$D$2+(C20-1)*7+4</f>
        <v>46339</v>
      </c>
      <c r="E20" s="7" t="s">
        <v>56</v>
      </c>
      <c r="F20" s="7" t="s">
        <v>78</v>
      </c>
      <c r="G20" s="7" t="s">
        <v>67</v>
      </c>
      <c r="H20" s="7" t="s">
        <v>304</v>
      </c>
      <c r="I20" s="7" t="s">
        <v>305</v>
      </c>
      <c r="J20" s="7" t="s">
        <v>306</v>
      </c>
      <c r="K20" s="7" t="s">
        <v>307</v>
      </c>
      <c r="L20" s="7" t="s">
        <v>308</v>
      </c>
      <c r="M20" s="7" t="s">
        <v>309</v>
      </c>
      <c r="N20" s="7" t="s">
        <v>132</v>
      </c>
      <c r="O20" s="7" t="s">
        <v>310</v>
      </c>
      <c r="P20" s="7" t="s">
        <v>115</v>
      </c>
      <c r="Q20" s="7" t="s">
        <v>203</v>
      </c>
      <c r="R20" s="7" t="s">
        <v>311</v>
      </c>
      <c r="S20" s="7" t="s">
        <v>312</v>
      </c>
      <c r="T20" s="7" t="s">
        <v>313</v>
      </c>
      <c r="U20" s="7" t="s">
        <v>152</v>
      </c>
      <c r="V20" s="7"/>
      <c r="W20" s="7" t="s">
        <v>314</v>
      </c>
      <c r="X20" s="7" t="s">
        <v>315</v>
      </c>
      <c r="Y20" s="7"/>
      <c r="Z20" s="7"/>
    </row>
  </sheetData>
  <autoFilter ref="A4:Z80"/>
  <mergeCells count="1">
    <mergeCell ref="A2:C2"/>
  </mergeCells>
  <conditionalFormatting sqref="E5:E80">
    <cfRule type="expression" priority="2" aboveAverage="0" equalAverage="0" bottom="0" percent="0" rank="0" text="" dxfId="12">
      <formula>$E5="Institucional"</formula>
    </cfRule>
    <cfRule type="expression" priority="3" aboveAverage="0" equalAverage="0" bottom="0" percent="0" rank="0" text="" dxfId="13">
      <formula>$E5="Produto"</formula>
    </cfRule>
    <cfRule type="expression" priority="4" aboveAverage="0" equalAverage="0" bottom="0" percent="0" rank="0" text="" dxfId="14">
      <formula>$E5="Projetos, eventos e entregas"</formula>
    </cfRule>
  </conditionalFormatting>
  <conditionalFormatting sqref="N5:N80">
    <cfRule type="expression" priority="5" aboveAverage="0" equalAverage="0" bottom="0" percent="0" rank="0" text="" dxfId="15">
      <formula>$N5="Vídeo"</formula>
    </cfRule>
  </conditionalFormatting>
  <conditionalFormatting sqref="G5:G80">
    <cfRule type="expression" priority="6" aboveAverage="0" equalAverage="0" bottom="0" percent="0" rank="0" text="" dxfId="16">
      <formula>$G5="Abertura"</formula>
    </cfRule>
    <cfRule type="expression" priority="7" aboveAverage="0" equalAverage="0" bottom="0" percent="0" rank="0" text="" dxfId="17">
      <formula>$G5="Dor"</formula>
    </cfRule>
    <cfRule type="expression" priority="8" aboveAverage="0" equalAverage="0" bottom="0" percent="0" rank="0" text="" dxfId="18">
      <formula>$G5="Virada"</formula>
    </cfRule>
    <cfRule type="expression" priority="9" aboveAverage="0" equalAverage="0" bottom="0" percent="0" rank="0" text="" dxfId="19">
      <formula>$G5="Prova"</formula>
    </cfRule>
    <cfRule type="expression" priority="10" aboveAverage="0" equalAverage="0" bottom="0" percent="0" rank="0" text="" dxfId="20">
      <formula>$G5="Convite"</formula>
    </cfRule>
  </conditionalFormatting>
  <dataValidations count="7">
    <dataValidation allowBlank="true" error="Escolha um valor da lista (aba Listas). Para criar um valor novo, inclua-o na aba Listas." errorStyle="warning" operator="between" showDropDown="false" showErrorMessage="false" showInputMessage="false" sqref="E5:E80" type="list">
      <formula1>Listas!$A$2:$A$4</formula1>
      <formula2>0</formula2>
    </dataValidation>
    <dataValidation allowBlank="true" error="Escolha um valor da lista (aba Listas). Para criar um valor novo, inclua-o na aba Listas." errorStyle="warning" operator="between" showDropDown="false" showErrorMessage="false" showInputMessage="false" sqref="N5:N80" type="list">
      <formula1>Listas!$B$2:$B$5</formula1>
      <formula2>0</formula2>
    </dataValidation>
    <dataValidation allowBlank="true" error="Escolha um valor da lista (aba Listas). Para criar um valor novo, inclua-o na aba Listas." errorStyle="warning" operator="between" showDropDown="false" showErrorMessage="false" showInputMessage="false" sqref="P5:P80" type="list">
      <formula1>Listas!$C$2:$C$5</formula1>
      <formula2>0</formula2>
    </dataValidation>
    <dataValidation allowBlank="true" error="Escolha um valor da lista (aba Listas). Para criar um valor novo, inclua-o na aba Listas." errorStyle="warning" operator="between" showDropDown="false" showErrorMessage="false" showInputMessage="false" sqref="U5:U80" type="list">
      <formula1>Listas!$D$2:$D$15</formula1>
      <formula2>0</formula2>
    </dataValidation>
    <dataValidation allowBlank="true" error="Escolha um valor da lista (aba Listas). Para criar um valor novo, inclua-o na aba Listas." errorStyle="warning" operator="between" showDropDown="false" showErrorMessage="false" showInputMessage="false" sqref="B5:B80" type="list">
      <formula1>Listas!$E$2:$E$13</formula1>
      <formula2>0</formula2>
    </dataValidation>
    <dataValidation allowBlank="true" error="Escolha um valor da lista (aba Listas). Para criar um valor novo, inclua-o na aba Listas." errorStyle="warning" operator="between" showDropDown="false" showErrorMessage="false" showInputMessage="false" sqref="F5:F80" type="list">
      <formula1>Listas!$F$2:$F$7</formula1>
      <formula2>0</formula2>
    </dataValidation>
    <dataValidation allowBlank="true" error="Escolha um valor da lista (aba Listas). Para criar um valor novo, inclua-o na aba Listas." errorStyle="warning" operator="between" showDropDown="false" showErrorMessage="false" showInputMessage="false" sqref="G5:G80" type="list">
      <formula1>Listas!$G$2:$G$6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44"/>
    <col collapsed="false" customWidth="true" hidden="false" outlineLevel="0" max="5" min="5" style="0" width="40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8" t="s">
        <v>316</v>
      </c>
    </row>
    <row r="2" customFormat="false" ht="15" hidden="false" customHeight="false" outlineLevel="0" collapsed="false">
      <c r="A2" s="9" t="s">
        <v>94</v>
      </c>
      <c r="B2" s="9" t="s">
        <v>317</v>
      </c>
      <c r="C2" s="9" t="s">
        <v>318</v>
      </c>
      <c r="D2" s="9" t="s">
        <v>319</v>
      </c>
      <c r="E2" s="9" t="s">
        <v>320</v>
      </c>
      <c r="F2" s="9" t="s">
        <v>321</v>
      </c>
    </row>
    <row r="3" customFormat="false" ht="23.85" hidden="false" customHeight="false" outlineLevel="0" collapsed="false">
      <c r="A3" s="7" t="s">
        <v>322</v>
      </c>
      <c r="B3" s="7" t="s">
        <v>323</v>
      </c>
      <c r="C3" s="7" t="s">
        <v>324</v>
      </c>
      <c r="D3" s="7" t="s">
        <v>325</v>
      </c>
      <c r="E3" s="7" t="s">
        <v>326</v>
      </c>
      <c r="F3" s="7" t="s">
        <v>327</v>
      </c>
    </row>
    <row r="4" customFormat="false" ht="23.85" hidden="false" customHeight="false" outlineLevel="0" collapsed="false">
      <c r="A4" s="7" t="s">
        <v>328</v>
      </c>
      <c r="B4" s="7" t="s">
        <v>329</v>
      </c>
      <c r="C4" s="7" t="s">
        <v>330</v>
      </c>
      <c r="D4" s="7" t="s">
        <v>331</v>
      </c>
      <c r="E4" s="7" t="s">
        <v>332</v>
      </c>
      <c r="F4" s="7" t="s">
        <v>333</v>
      </c>
    </row>
    <row r="5" customFormat="false" ht="23.85" hidden="false" customHeight="false" outlineLevel="0" collapsed="false">
      <c r="A5" s="7" t="s">
        <v>334</v>
      </c>
      <c r="B5" s="7" t="s">
        <v>335</v>
      </c>
      <c r="C5" s="7" t="s">
        <v>336</v>
      </c>
      <c r="D5" s="7" t="s">
        <v>337</v>
      </c>
      <c r="E5" s="7" t="s">
        <v>338</v>
      </c>
      <c r="F5" s="7" t="s">
        <v>195</v>
      </c>
    </row>
    <row r="6" customFormat="false" ht="23.85" hidden="false" customHeight="false" outlineLevel="0" collapsed="false">
      <c r="A6" s="7" t="s">
        <v>339</v>
      </c>
      <c r="B6" s="7" t="s">
        <v>340</v>
      </c>
      <c r="C6" s="7" t="s">
        <v>341</v>
      </c>
      <c r="D6" s="7" t="s">
        <v>342</v>
      </c>
      <c r="E6" s="7" t="s">
        <v>343</v>
      </c>
      <c r="F6" s="7" t="s">
        <v>220</v>
      </c>
    </row>
    <row r="7" customFormat="false" ht="23.85" hidden="false" customHeight="false" outlineLevel="0" collapsed="false">
      <c r="A7" s="7" t="s">
        <v>344</v>
      </c>
      <c r="B7" s="7" t="s">
        <v>345</v>
      </c>
      <c r="C7" s="7" t="s">
        <v>346</v>
      </c>
      <c r="D7" s="7" t="s">
        <v>347</v>
      </c>
      <c r="E7" s="7" t="s">
        <v>348</v>
      </c>
      <c r="F7" s="7" t="s">
        <v>266</v>
      </c>
    </row>
    <row r="8" customFormat="false" ht="23.85" hidden="false" customHeight="false" outlineLevel="0" collapsed="false">
      <c r="A8" s="7" t="s">
        <v>349</v>
      </c>
      <c r="B8" s="7" t="s">
        <v>350</v>
      </c>
      <c r="C8" s="7" t="s">
        <v>351</v>
      </c>
      <c r="D8" s="7" t="s">
        <v>352</v>
      </c>
      <c r="E8" s="7" t="s">
        <v>353</v>
      </c>
      <c r="F8" s="7" t="s">
        <v>354</v>
      </c>
    </row>
    <row r="9" customFormat="false" ht="23.85" hidden="false" customHeight="false" outlineLevel="0" collapsed="false">
      <c r="A9" s="7" t="s">
        <v>355</v>
      </c>
      <c r="B9" s="7" t="s">
        <v>356</v>
      </c>
      <c r="C9" s="7" t="s">
        <v>357</v>
      </c>
      <c r="D9" s="7" t="s">
        <v>358</v>
      </c>
      <c r="E9" s="7" t="s">
        <v>359</v>
      </c>
      <c r="F9" s="7" t="s">
        <v>156</v>
      </c>
    </row>
    <row r="10" customFormat="false" ht="23.85" hidden="false" customHeight="false" outlineLevel="0" collapsed="false">
      <c r="A10" s="7" t="s">
        <v>360</v>
      </c>
      <c r="B10" s="7" t="s">
        <v>361</v>
      </c>
      <c r="C10" s="7" t="s">
        <v>362</v>
      </c>
      <c r="D10" s="7" t="s">
        <v>363</v>
      </c>
      <c r="E10" s="7" t="s">
        <v>364</v>
      </c>
      <c r="F10" s="7" t="s">
        <v>184</v>
      </c>
    </row>
    <row r="11" customFormat="false" ht="23.85" hidden="false" customHeight="false" outlineLevel="0" collapsed="false">
      <c r="A11" s="7" t="s">
        <v>365</v>
      </c>
      <c r="B11" s="7" t="s">
        <v>366</v>
      </c>
      <c r="C11" s="7" t="s">
        <v>367</v>
      </c>
      <c r="D11" s="7" t="s">
        <v>368</v>
      </c>
      <c r="E11" s="7" t="s">
        <v>369</v>
      </c>
      <c r="F11" s="7" t="s">
        <v>303</v>
      </c>
    </row>
    <row r="12" customFormat="false" ht="23.85" hidden="false" customHeight="false" outlineLevel="0" collapsed="false">
      <c r="A12" s="7" t="s">
        <v>370</v>
      </c>
      <c r="B12" s="7" t="s">
        <v>371</v>
      </c>
      <c r="C12" s="7" t="s">
        <v>372</v>
      </c>
      <c r="D12" s="7" t="s">
        <v>373</v>
      </c>
      <c r="E12" s="7" t="s">
        <v>374</v>
      </c>
      <c r="F12" s="7" t="s">
        <v>254</v>
      </c>
    </row>
    <row r="13" customFormat="false" ht="23.85" hidden="false" customHeight="false" outlineLevel="0" collapsed="false">
      <c r="A13" s="7" t="s">
        <v>375</v>
      </c>
      <c r="B13" s="7" t="s">
        <v>376</v>
      </c>
      <c r="C13" s="7" t="s">
        <v>377</v>
      </c>
      <c r="D13" s="7" t="s">
        <v>378</v>
      </c>
      <c r="E13" s="7" t="s">
        <v>379</v>
      </c>
      <c r="F13" s="7" t="s">
        <v>279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60"/>
    <col collapsed="false" customWidth="true" hidden="false" outlineLevel="0" max="4" min="3" style="0" width="40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8" t="s">
        <v>380</v>
      </c>
    </row>
    <row r="2" customFormat="false" ht="15" hidden="false" customHeight="false" outlineLevel="0" collapsed="false">
      <c r="A2" s="9" t="s">
        <v>99</v>
      </c>
      <c r="B2" s="9" t="s">
        <v>381</v>
      </c>
      <c r="C2" s="9" t="s">
        <v>382</v>
      </c>
      <c r="D2" s="9" t="s">
        <v>383</v>
      </c>
      <c r="E2" s="9" t="s">
        <v>321</v>
      </c>
    </row>
    <row r="3" customFormat="false" ht="68.65" hidden="false" customHeight="false" outlineLevel="0" collapsed="false">
      <c r="A3" s="7" t="s">
        <v>384</v>
      </c>
      <c r="B3" s="7" t="s">
        <v>385</v>
      </c>
      <c r="C3" s="7" t="s">
        <v>386</v>
      </c>
      <c r="D3" s="7" t="s">
        <v>387</v>
      </c>
      <c r="E3" s="7" t="s">
        <v>388</v>
      </c>
    </row>
    <row r="4" customFormat="false" ht="35.05" hidden="false" customHeight="false" outlineLevel="0" collapsed="false">
      <c r="A4" s="7" t="s">
        <v>389</v>
      </c>
      <c r="B4" s="7" t="s">
        <v>390</v>
      </c>
      <c r="C4" s="7" t="s">
        <v>391</v>
      </c>
      <c r="D4" s="7" t="s">
        <v>392</v>
      </c>
      <c r="E4" s="7" t="s">
        <v>393</v>
      </c>
    </row>
    <row r="5" customFormat="false" ht="23.85" hidden="false" customHeight="false" outlineLevel="0" collapsed="false">
      <c r="A5" s="7" t="s">
        <v>394</v>
      </c>
      <c r="B5" s="7" t="s">
        <v>395</v>
      </c>
      <c r="C5" s="7" t="s">
        <v>396</v>
      </c>
      <c r="D5" s="7" t="s">
        <v>397</v>
      </c>
      <c r="E5" s="7" t="s">
        <v>220</v>
      </c>
    </row>
    <row r="6" customFormat="false" ht="23.85" hidden="false" customHeight="false" outlineLevel="0" collapsed="false">
      <c r="A6" s="7" t="s">
        <v>398</v>
      </c>
      <c r="B6" s="7" t="s">
        <v>399</v>
      </c>
      <c r="C6" s="7" t="s">
        <v>400</v>
      </c>
      <c r="D6" s="7" t="s">
        <v>397</v>
      </c>
      <c r="E6" s="7" t="s">
        <v>393</v>
      </c>
    </row>
    <row r="7" customFormat="false" ht="23.85" hidden="false" customHeight="false" outlineLevel="0" collapsed="false">
      <c r="A7" s="7" t="s">
        <v>401</v>
      </c>
      <c r="B7" s="7" t="s">
        <v>402</v>
      </c>
      <c r="C7" s="7" t="s">
        <v>403</v>
      </c>
      <c r="D7" s="7" t="s">
        <v>397</v>
      </c>
      <c r="E7" s="7" t="s">
        <v>393</v>
      </c>
    </row>
    <row r="8" customFormat="false" ht="15" hidden="false" customHeight="false" outlineLevel="0" collapsed="false">
      <c r="A8" s="7" t="s">
        <v>404</v>
      </c>
      <c r="B8" s="7" t="s">
        <v>405</v>
      </c>
      <c r="C8" s="7" t="s">
        <v>406</v>
      </c>
      <c r="D8" s="7" t="s">
        <v>407</v>
      </c>
      <c r="E8" s="7" t="s">
        <v>172</v>
      </c>
    </row>
    <row r="9" customFormat="false" ht="35.05" hidden="false" customHeight="false" outlineLevel="0" collapsed="false">
      <c r="A9" s="7" t="s">
        <v>408</v>
      </c>
      <c r="B9" s="7" t="s">
        <v>409</v>
      </c>
      <c r="C9" s="7" t="s">
        <v>410</v>
      </c>
      <c r="D9" s="7" t="s">
        <v>411</v>
      </c>
      <c r="E9" s="7" t="s">
        <v>410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52"/>
    <col collapsed="false" customWidth="true" hidden="false" outlineLevel="0" max="5" min="5" style="0" width="30"/>
  </cols>
  <sheetData>
    <row r="1" customFormat="false" ht="15" hidden="false" customHeight="false" outlineLevel="0" collapsed="false">
      <c r="A1" s="8" t="s">
        <v>412</v>
      </c>
    </row>
    <row r="2" customFormat="false" ht="15" hidden="false" customHeight="false" outlineLevel="0" collapsed="false">
      <c r="A2" s="9" t="s">
        <v>413</v>
      </c>
      <c r="B2" s="9" t="s">
        <v>243</v>
      </c>
      <c r="C2" s="9" t="s">
        <v>101</v>
      </c>
      <c r="D2" s="9" t="s">
        <v>414</v>
      </c>
      <c r="E2" s="9" t="s">
        <v>415</v>
      </c>
    </row>
    <row r="3" customFormat="false" ht="23.85" hidden="false" customHeight="false" outlineLevel="0" collapsed="false">
      <c r="A3" s="7" t="s">
        <v>416</v>
      </c>
      <c r="B3" s="7" t="s">
        <v>417</v>
      </c>
      <c r="C3" s="7" t="s">
        <v>418</v>
      </c>
      <c r="D3" s="7" t="s">
        <v>419</v>
      </c>
      <c r="E3" s="7" t="s">
        <v>420</v>
      </c>
    </row>
    <row r="4" customFormat="false" ht="23.85" hidden="false" customHeight="false" outlineLevel="0" collapsed="false">
      <c r="A4" s="7" t="s">
        <v>421</v>
      </c>
      <c r="B4" s="7" t="s">
        <v>422</v>
      </c>
      <c r="C4" s="7" t="s">
        <v>418</v>
      </c>
      <c r="D4" s="7" t="s">
        <v>423</v>
      </c>
      <c r="E4" s="7" t="s">
        <v>424</v>
      </c>
    </row>
    <row r="5" customFormat="false" ht="15" hidden="false" customHeight="false" outlineLevel="0" collapsed="false">
      <c r="A5" s="7" t="s">
        <v>425</v>
      </c>
      <c r="B5" s="7" t="s">
        <v>426</v>
      </c>
      <c r="C5" s="7" t="s">
        <v>418</v>
      </c>
      <c r="D5" s="7" t="s">
        <v>427</v>
      </c>
      <c r="E5" s="7" t="s">
        <v>428</v>
      </c>
    </row>
    <row r="6" customFormat="false" ht="15" hidden="false" customHeight="false" outlineLevel="0" collapsed="false">
      <c r="A6" s="7" t="s">
        <v>429</v>
      </c>
      <c r="B6" s="7" t="s">
        <v>430</v>
      </c>
      <c r="C6" s="7" t="s">
        <v>418</v>
      </c>
      <c r="D6" s="7" t="s">
        <v>431</v>
      </c>
      <c r="E6" s="7" t="s">
        <v>432</v>
      </c>
    </row>
    <row r="7" customFormat="false" ht="23.85" hidden="false" customHeight="false" outlineLevel="0" collapsed="false">
      <c r="A7" s="7" t="s">
        <v>433</v>
      </c>
      <c r="B7" s="7" t="s">
        <v>434</v>
      </c>
      <c r="C7" s="7" t="s">
        <v>435</v>
      </c>
      <c r="D7" s="7" t="s">
        <v>436</v>
      </c>
      <c r="E7" s="7" t="s">
        <v>437</v>
      </c>
    </row>
    <row r="8" customFormat="false" ht="15" hidden="false" customHeight="false" outlineLevel="0" collapsed="false">
      <c r="A8" s="7" t="s">
        <v>438</v>
      </c>
      <c r="B8" s="7" t="s">
        <v>417</v>
      </c>
      <c r="C8" s="7" t="s">
        <v>439</v>
      </c>
      <c r="D8" s="7" t="s">
        <v>440</v>
      </c>
      <c r="E8" s="7" t="s">
        <v>441</v>
      </c>
    </row>
    <row r="9" customFormat="false" ht="23.85" hidden="false" customHeight="false" outlineLevel="0" collapsed="false">
      <c r="A9" s="7" t="s">
        <v>442</v>
      </c>
      <c r="B9" s="7" t="s">
        <v>443</v>
      </c>
      <c r="C9" s="7" t="s">
        <v>413</v>
      </c>
      <c r="D9" s="7" t="s">
        <v>444</v>
      </c>
      <c r="E9" s="7" t="s">
        <v>445</v>
      </c>
    </row>
    <row r="10" customFormat="false" ht="23.85" hidden="false" customHeight="false" outlineLevel="0" collapsed="false">
      <c r="A10" s="7" t="s">
        <v>446</v>
      </c>
      <c r="B10" s="7" t="s">
        <v>447</v>
      </c>
      <c r="C10" s="7" t="s">
        <v>413</v>
      </c>
      <c r="D10" s="7" t="s">
        <v>448</v>
      </c>
      <c r="E10" s="7" t="s">
        <v>449</v>
      </c>
    </row>
    <row r="11" customFormat="false" ht="23.85" hidden="false" customHeight="false" outlineLevel="0" collapsed="false">
      <c r="A11" s="7" t="s">
        <v>450</v>
      </c>
      <c r="B11" s="7" t="s">
        <v>451</v>
      </c>
      <c r="C11" s="7" t="s">
        <v>413</v>
      </c>
      <c r="D11" s="7" t="s">
        <v>452</v>
      </c>
      <c r="E11" s="7" t="s">
        <v>453</v>
      </c>
    </row>
    <row r="12" customFormat="false" ht="35.05" hidden="false" customHeight="false" outlineLevel="0" collapsed="false">
      <c r="A12" s="7" t="s">
        <v>454</v>
      </c>
      <c r="B12" s="7" t="s">
        <v>417</v>
      </c>
      <c r="C12" s="7" t="s">
        <v>413</v>
      </c>
      <c r="D12" s="7" t="s">
        <v>455</v>
      </c>
      <c r="E12" s="7" t="s">
        <v>456</v>
      </c>
    </row>
    <row r="13" customFormat="false" ht="15" hidden="false" customHeight="false" outlineLevel="0" collapsed="false">
      <c r="A13" s="7" t="s">
        <v>457</v>
      </c>
      <c r="B13" s="7" t="s">
        <v>458</v>
      </c>
      <c r="C13" s="7" t="s">
        <v>413</v>
      </c>
      <c r="D13" s="7" t="s">
        <v>459</v>
      </c>
      <c r="E13" s="7" t="s">
        <v>460</v>
      </c>
    </row>
    <row r="14" customFormat="false" ht="15" hidden="false" customHeight="false" outlineLevel="0" collapsed="false">
      <c r="A14" s="7" t="s">
        <v>461</v>
      </c>
      <c r="B14" s="7" t="s">
        <v>458</v>
      </c>
      <c r="C14" s="7" t="s">
        <v>413</v>
      </c>
      <c r="D14" s="7" t="s">
        <v>462</v>
      </c>
      <c r="E14" s="7" t="s">
        <v>463</v>
      </c>
    </row>
    <row r="15" customFormat="false" ht="15" hidden="false" customHeight="false" outlineLevel="0" collapsed="false">
      <c r="A15" s="7" t="s">
        <v>464</v>
      </c>
      <c r="B15" s="7" t="s">
        <v>46</v>
      </c>
      <c r="C15" s="7" t="s">
        <v>413</v>
      </c>
      <c r="D15" s="7" t="s">
        <v>465</v>
      </c>
      <c r="E15" s="7" t="s">
        <v>466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46"/>
    <col collapsed="false" customWidth="true" hidden="false" outlineLevel="0" max="4" min="4" style="0" width="40"/>
    <col collapsed="false" customWidth="true" hidden="false" outlineLevel="0" max="5" min="5" style="0" width="34"/>
  </cols>
  <sheetData>
    <row r="1" customFormat="false" ht="15" hidden="false" customHeight="false" outlineLevel="0" collapsed="false">
      <c r="A1" s="8" t="s">
        <v>467</v>
      </c>
    </row>
    <row r="2" customFormat="false" ht="15" hidden="false" customHeight="false" outlineLevel="0" collapsed="false">
      <c r="A2" s="9" t="s">
        <v>468</v>
      </c>
      <c r="B2" s="9" t="s">
        <v>469</v>
      </c>
      <c r="C2" s="9" t="s">
        <v>470</v>
      </c>
      <c r="D2" s="9" t="s">
        <v>471</v>
      </c>
      <c r="E2" s="9" t="s">
        <v>472</v>
      </c>
    </row>
    <row r="3" customFormat="false" ht="35.05" hidden="false" customHeight="false" outlineLevel="0" collapsed="false">
      <c r="A3" s="7" t="s">
        <v>55</v>
      </c>
      <c r="B3" s="7" t="s">
        <v>473</v>
      </c>
      <c r="C3" s="7" t="s">
        <v>474</v>
      </c>
      <c r="D3" s="7" t="s">
        <v>475</v>
      </c>
      <c r="E3" s="7" t="s">
        <v>476</v>
      </c>
    </row>
    <row r="4" customFormat="false" ht="35.05" hidden="false" customHeight="false" outlineLevel="0" collapsed="false">
      <c r="A4" s="7" t="s">
        <v>56</v>
      </c>
      <c r="B4" s="7" t="s">
        <v>477</v>
      </c>
      <c r="C4" s="7" t="s">
        <v>478</v>
      </c>
      <c r="D4" s="7" t="s">
        <v>479</v>
      </c>
      <c r="E4" s="7" t="s">
        <v>480</v>
      </c>
    </row>
    <row r="5" customFormat="false" ht="35.05" hidden="false" customHeight="false" outlineLevel="0" collapsed="false">
      <c r="A5" s="7" t="s">
        <v>157</v>
      </c>
      <c r="B5" s="7" t="s">
        <v>481</v>
      </c>
      <c r="C5" s="7" t="s">
        <v>482</v>
      </c>
      <c r="D5" s="7" t="s">
        <v>483</v>
      </c>
      <c r="E5" s="7" t="s">
        <v>484</v>
      </c>
    </row>
    <row r="7" customFormat="false" ht="15" hidden="false" customHeight="false" outlineLevel="0" collapsed="false">
      <c r="A7" s="8" t="s">
        <v>485</v>
      </c>
    </row>
    <row r="8" customFormat="false" ht="15" hidden="false" customHeight="false" outlineLevel="0" collapsed="false">
      <c r="A8" s="9" t="s">
        <v>91</v>
      </c>
      <c r="B8" s="9" t="s">
        <v>486</v>
      </c>
      <c r="C8" s="9" t="s">
        <v>487</v>
      </c>
      <c r="D8" s="9" t="s">
        <v>488</v>
      </c>
      <c r="E8" s="9" t="s">
        <v>320</v>
      </c>
    </row>
    <row r="9" customFormat="false" ht="23.85" hidden="false" customHeight="false" outlineLevel="0" collapsed="false">
      <c r="A9" s="7" t="s">
        <v>489</v>
      </c>
      <c r="B9" s="7" t="s">
        <v>490</v>
      </c>
      <c r="C9" s="7" t="s">
        <v>491</v>
      </c>
      <c r="D9" s="7" t="s">
        <v>492</v>
      </c>
      <c r="E9" s="7" t="s">
        <v>493</v>
      </c>
    </row>
    <row r="10" customFormat="false" ht="15" hidden="false" customHeight="false" outlineLevel="0" collapsed="false">
      <c r="A10" s="7" t="s">
        <v>494</v>
      </c>
      <c r="B10" s="7" t="s">
        <v>495</v>
      </c>
      <c r="C10" s="7" t="s">
        <v>496</v>
      </c>
      <c r="D10" s="7" t="s">
        <v>497</v>
      </c>
      <c r="E10" s="7" t="s">
        <v>498</v>
      </c>
    </row>
    <row r="11" customFormat="false" ht="23.85" hidden="false" customHeight="false" outlineLevel="0" collapsed="false">
      <c r="A11" s="7" t="s">
        <v>129</v>
      </c>
      <c r="B11" s="7" t="s">
        <v>499</v>
      </c>
      <c r="C11" s="7" t="s">
        <v>500</v>
      </c>
      <c r="D11" s="7" t="s">
        <v>501</v>
      </c>
      <c r="E11" s="7" t="s">
        <v>502</v>
      </c>
    </row>
    <row r="12" customFormat="false" ht="15" hidden="false" customHeight="false" outlineLevel="0" collapsed="false">
      <c r="A12" s="7" t="s">
        <v>503</v>
      </c>
      <c r="B12" s="7" t="s">
        <v>504</v>
      </c>
      <c r="C12" s="7" t="s">
        <v>505</v>
      </c>
      <c r="D12" s="7" t="s">
        <v>506</v>
      </c>
      <c r="E12" s="7" t="s">
        <v>507</v>
      </c>
    </row>
    <row r="13" customFormat="false" ht="15" hidden="false" customHeight="false" outlineLevel="0" collapsed="false">
      <c r="A13" s="7" t="s">
        <v>508</v>
      </c>
      <c r="B13" s="7" t="s">
        <v>509</v>
      </c>
      <c r="C13" s="7" t="s">
        <v>510</v>
      </c>
      <c r="D13" s="7" t="s">
        <v>511</v>
      </c>
      <c r="E13" s="7" t="s">
        <v>512</v>
      </c>
    </row>
    <row r="14" customFormat="false" ht="15" hidden="false" customHeight="false" outlineLevel="0" collapsed="false">
      <c r="A14" s="7" t="s">
        <v>513</v>
      </c>
      <c r="B14" s="7" t="s">
        <v>514</v>
      </c>
      <c r="C14" s="7" t="s">
        <v>515</v>
      </c>
      <c r="D14" s="7" t="s">
        <v>516</v>
      </c>
      <c r="E14" s="7" t="s">
        <v>517</v>
      </c>
    </row>
    <row r="15" customFormat="false" ht="15" hidden="false" customHeight="false" outlineLevel="0" collapsed="false">
      <c r="A15" s="7" t="s">
        <v>518</v>
      </c>
      <c r="B15" s="7" t="s">
        <v>519</v>
      </c>
      <c r="C15" s="7" t="s">
        <v>520</v>
      </c>
      <c r="D15" s="7" t="s">
        <v>521</v>
      </c>
      <c r="E15" s="7" t="s">
        <v>522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0"/>
    <col collapsed="false" customWidth="true" hidden="false" outlineLevel="0" max="3" min="3" style="0" width="30"/>
    <col collapsed="false" customWidth="true" hidden="false" outlineLevel="0" max="4" min="4" style="0" width="34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8" t="s">
        <v>523</v>
      </c>
    </row>
    <row r="2" customFormat="false" ht="15" hidden="false" customHeight="false" outlineLevel="0" collapsed="false">
      <c r="A2" s="9" t="s">
        <v>524</v>
      </c>
      <c r="B2" s="9" t="s">
        <v>525</v>
      </c>
      <c r="C2" s="9" t="s">
        <v>526</v>
      </c>
      <c r="D2" s="9" t="s">
        <v>527</v>
      </c>
      <c r="E2" s="9" t="s">
        <v>383</v>
      </c>
    </row>
    <row r="3" customFormat="false" ht="23.85" hidden="false" customHeight="false" outlineLevel="0" collapsed="false">
      <c r="A3" s="7" t="n">
        <v>1</v>
      </c>
      <c r="B3" s="7" t="s">
        <v>528</v>
      </c>
      <c r="C3" s="7" t="s">
        <v>529</v>
      </c>
      <c r="D3" s="7" t="s">
        <v>393</v>
      </c>
      <c r="E3" s="7" t="s">
        <v>530</v>
      </c>
    </row>
    <row r="4" customFormat="false" ht="23.85" hidden="false" customHeight="false" outlineLevel="0" collapsed="false">
      <c r="A4" s="7" t="n">
        <v>2</v>
      </c>
      <c r="B4" s="7" t="s">
        <v>531</v>
      </c>
      <c r="C4" s="7" t="s">
        <v>532</v>
      </c>
      <c r="D4" s="7" t="s">
        <v>533</v>
      </c>
      <c r="E4" s="7" t="s">
        <v>530</v>
      </c>
    </row>
    <row r="5" customFormat="false" ht="23.85" hidden="false" customHeight="false" outlineLevel="0" collapsed="false">
      <c r="A5" s="7" t="n">
        <v>3</v>
      </c>
      <c r="B5" s="7" t="s">
        <v>534</v>
      </c>
      <c r="C5" s="7" t="s">
        <v>535</v>
      </c>
      <c r="D5" s="7" t="s">
        <v>107</v>
      </c>
      <c r="E5" s="7" t="s">
        <v>530</v>
      </c>
    </row>
    <row r="6" customFormat="false" ht="23.85" hidden="false" customHeight="false" outlineLevel="0" collapsed="false">
      <c r="A6" s="7" t="n">
        <v>4</v>
      </c>
      <c r="B6" s="7" t="s">
        <v>536</v>
      </c>
      <c r="C6" s="7" t="s">
        <v>537</v>
      </c>
      <c r="D6" s="7" t="s">
        <v>107</v>
      </c>
      <c r="E6" s="7" t="s">
        <v>530</v>
      </c>
    </row>
    <row r="7" customFormat="false" ht="15" hidden="false" customHeight="false" outlineLevel="0" collapsed="false">
      <c r="A7" s="7" t="n">
        <v>5</v>
      </c>
      <c r="B7" s="7" t="s">
        <v>538</v>
      </c>
      <c r="C7" s="7" t="s">
        <v>537</v>
      </c>
      <c r="D7" s="7" t="s">
        <v>539</v>
      </c>
      <c r="E7" s="7" t="s">
        <v>530</v>
      </c>
    </row>
    <row r="8" customFormat="false" ht="15" hidden="false" customHeight="false" outlineLevel="0" collapsed="false">
      <c r="A8" s="7" t="n">
        <v>6</v>
      </c>
      <c r="B8" s="7" t="s">
        <v>540</v>
      </c>
      <c r="C8" s="7" t="s">
        <v>541</v>
      </c>
      <c r="D8" s="7" t="s">
        <v>542</v>
      </c>
      <c r="E8" s="7" t="s">
        <v>530</v>
      </c>
    </row>
    <row r="9" customFormat="false" ht="23.85" hidden="false" customHeight="false" outlineLevel="0" collapsed="false">
      <c r="A9" s="7" t="n">
        <v>7</v>
      </c>
      <c r="B9" s="7" t="s">
        <v>543</v>
      </c>
      <c r="C9" s="7" t="s">
        <v>529</v>
      </c>
      <c r="D9" s="7" t="s">
        <v>209</v>
      </c>
      <c r="E9" s="7" t="s">
        <v>530</v>
      </c>
    </row>
    <row r="10" customFormat="false" ht="15" hidden="false" customHeight="false" outlineLevel="0" collapsed="false">
      <c r="A10" s="7" t="n">
        <v>8</v>
      </c>
      <c r="B10" s="7" t="s">
        <v>544</v>
      </c>
      <c r="C10" s="7" t="s">
        <v>541</v>
      </c>
      <c r="D10" s="7" t="s">
        <v>354</v>
      </c>
      <c r="E10" s="7" t="s">
        <v>530</v>
      </c>
    </row>
    <row r="11" customFormat="false" ht="23.85" hidden="false" customHeight="false" outlineLevel="0" collapsed="false">
      <c r="A11" s="7" t="n">
        <v>9</v>
      </c>
      <c r="B11" s="7" t="s">
        <v>545</v>
      </c>
      <c r="C11" s="7" t="s">
        <v>546</v>
      </c>
      <c r="D11" s="7" t="s">
        <v>220</v>
      </c>
      <c r="E11" s="7" t="s">
        <v>530</v>
      </c>
    </row>
    <row r="12" customFormat="false" ht="15" hidden="false" customHeight="false" outlineLevel="0" collapsed="false">
      <c r="A12" s="7" t="n">
        <v>10</v>
      </c>
      <c r="B12" s="7" t="s">
        <v>547</v>
      </c>
      <c r="C12" s="7" t="s">
        <v>537</v>
      </c>
      <c r="D12" s="7" t="s">
        <v>242</v>
      </c>
      <c r="E12" s="7" t="s">
        <v>530</v>
      </c>
    </row>
    <row r="13" customFormat="false" ht="15" hidden="false" customHeight="false" outlineLevel="0" collapsed="false">
      <c r="A13" s="7" t="n">
        <v>11</v>
      </c>
      <c r="B13" s="7" t="s">
        <v>548</v>
      </c>
      <c r="C13" s="7" t="s">
        <v>549</v>
      </c>
      <c r="D13" s="7" t="s">
        <v>195</v>
      </c>
      <c r="E13" s="7" t="s">
        <v>530</v>
      </c>
    </row>
    <row r="14" customFormat="false" ht="23.85" hidden="false" customHeight="false" outlineLevel="0" collapsed="false">
      <c r="A14" s="7" t="n">
        <v>12</v>
      </c>
      <c r="B14" s="7" t="s">
        <v>550</v>
      </c>
      <c r="C14" s="7" t="s">
        <v>551</v>
      </c>
      <c r="D14" s="7" t="s">
        <v>303</v>
      </c>
      <c r="E14" s="7" t="s">
        <v>530</v>
      </c>
    </row>
    <row r="15" customFormat="false" ht="15" hidden="false" customHeight="false" outlineLevel="0" collapsed="false">
      <c r="A15" s="7" t="n">
        <v>13</v>
      </c>
      <c r="B15" s="7" t="s">
        <v>552</v>
      </c>
      <c r="C15" s="7" t="s">
        <v>553</v>
      </c>
      <c r="D15" s="7" t="s">
        <v>554</v>
      </c>
      <c r="E15" s="7" t="s">
        <v>530</v>
      </c>
    </row>
    <row r="16" customFormat="false" ht="23.85" hidden="false" customHeight="false" outlineLevel="0" collapsed="false">
      <c r="A16" s="7" t="n">
        <v>14</v>
      </c>
      <c r="B16" s="7" t="s">
        <v>555</v>
      </c>
      <c r="C16" s="7" t="s">
        <v>535</v>
      </c>
      <c r="D16" s="7" t="s">
        <v>556</v>
      </c>
      <c r="E16" s="7" t="s">
        <v>530</v>
      </c>
    </row>
    <row r="17" customFormat="false" ht="15" hidden="false" customHeight="false" outlineLevel="0" collapsed="false">
      <c r="A17" s="7" t="n">
        <v>15</v>
      </c>
      <c r="B17" s="7" t="s">
        <v>557</v>
      </c>
      <c r="C17" s="7" t="s">
        <v>529</v>
      </c>
      <c r="D17" s="7" t="s">
        <v>558</v>
      </c>
      <c r="E17" s="7" t="s">
        <v>530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8" min="1" style="0" width="26"/>
  </cols>
  <sheetData>
    <row r="1" customFormat="false" ht="15" hidden="false" customHeight="false" outlineLevel="0" collapsed="false">
      <c r="A1" s="17" t="s">
        <v>87</v>
      </c>
      <c r="B1" s="17" t="s">
        <v>94</v>
      </c>
      <c r="C1" s="17" t="s">
        <v>96</v>
      </c>
      <c r="D1" s="17" t="s">
        <v>101</v>
      </c>
      <c r="E1" s="17" t="s">
        <v>33</v>
      </c>
      <c r="F1" s="17" t="s">
        <v>71</v>
      </c>
      <c r="G1" s="17" t="s">
        <v>50</v>
      </c>
      <c r="H1" s="17" t="s">
        <v>91</v>
      </c>
    </row>
    <row r="2" customFormat="false" ht="15" hidden="false" customHeight="false" outlineLevel="0" collapsed="false">
      <c r="A2" s="13" t="s">
        <v>55</v>
      </c>
      <c r="B2" s="13" t="s">
        <v>113</v>
      </c>
      <c r="C2" s="13" t="s">
        <v>115</v>
      </c>
      <c r="D2" s="13" t="s">
        <v>413</v>
      </c>
      <c r="E2" s="13" t="s">
        <v>34</v>
      </c>
      <c r="F2" s="13" t="s">
        <v>74</v>
      </c>
      <c r="G2" s="13" t="s">
        <v>75</v>
      </c>
      <c r="H2" s="13" t="s">
        <v>489</v>
      </c>
    </row>
    <row r="3" customFormat="false" ht="15" hidden="false" customHeight="false" outlineLevel="0" collapsed="false">
      <c r="A3" s="13" t="s">
        <v>56</v>
      </c>
      <c r="B3" s="13" t="s">
        <v>132</v>
      </c>
      <c r="C3" s="13" t="s">
        <v>273</v>
      </c>
      <c r="D3" s="13" t="s">
        <v>152</v>
      </c>
      <c r="E3" s="13" t="s">
        <v>445</v>
      </c>
      <c r="F3" s="13" t="s">
        <v>76</v>
      </c>
      <c r="G3" s="13" t="s">
        <v>77</v>
      </c>
      <c r="H3" s="13" t="s">
        <v>494</v>
      </c>
    </row>
    <row r="4" customFormat="false" ht="15" hidden="false" customHeight="false" outlineLevel="0" collapsed="false">
      <c r="A4" s="13" t="s">
        <v>157</v>
      </c>
      <c r="B4" s="13" t="s">
        <v>259</v>
      </c>
      <c r="C4" s="13" t="s">
        <v>559</v>
      </c>
      <c r="D4" s="13" t="s">
        <v>560</v>
      </c>
      <c r="E4" s="13" t="s">
        <v>453</v>
      </c>
      <c r="F4" s="13" t="s">
        <v>78</v>
      </c>
      <c r="G4" s="13" t="s">
        <v>61</v>
      </c>
      <c r="H4" s="13" t="s">
        <v>129</v>
      </c>
    </row>
    <row r="5" customFormat="false" ht="15" hidden="false" customHeight="false" outlineLevel="0" collapsed="false">
      <c r="B5" s="13" t="s">
        <v>561</v>
      </c>
      <c r="C5" s="13" t="s">
        <v>562</v>
      </c>
      <c r="D5" s="13" t="s">
        <v>435</v>
      </c>
      <c r="E5" s="13" t="s">
        <v>563</v>
      </c>
      <c r="F5" s="13" t="s">
        <v>79</v>
      </c>
      <c r="G5" s="13" t="s">
        <v>64</v>
      </c>
      <c r="H5" s="13" t="s">
        <v>503</v>
      </c>
    </row>
    <row r="6" customFormat="false" ht="15" hidden="false" customHeight="false" outlineLevel="0" collapsed="false">
      <c r="D6" s="13" t="s">
        <v>439</v>
      </c>
      <c r="E6" s="13" t="s">
        <v>564</v>
      </c>
      <c r="F6" s="13" t="s">
        <v>80</v>
      </c>
      <c r="G6" s="13" t="s">
        <v>67</v>
      </c>
      <c r="H6" s="13" t="s">
        <v>508</v>
      </c>
    </row>
    <row r="7" customFormat="false" ht="15" hidden="false" customHeight="false" outlineLevel="0" collapsed="false">
      <c r="D7" s="13" t="s">
        <v>120</v>
      </c>
      <c r="E7" s="13" t="s">
        <v>565</v>
      </c>
      <c r="F7" s="13" t="s">
        <v>81</v>
      </c>
      <c r="H7" s="13" t="s">
        <v>513</v>
      </c>
    </row>
    <row r="8" customFormat="false" ht="15" hidden="false" customHeight="false" outlineLevel="0" collapsed="false">
      <c r="D8" s="13" t="s">
        <v>566</v>
      </c>
      <c r="E8" s="13" t="s">
        <v>567</v>
      </c>
      <c r="H8" s="13" t="s">
        <v>518</v>
      </c>
    </row>
    <row r="9" customFormat="false" ht="15" hidden="false" customHeight="false" outlineLevel="0" collapsed="false">
      <c r="D9" s="13" t="s">
        <v>137</v>
      </c>
      <c r="E9" s="13" t="s">
        <v>568</v>
      </c>
    </row>
    <row r="10" customFormat="false" ht="15" hidden="false" customHeight="false" outlineLevel="0" collapsed="false">
      <c r="D10" s="13" t="s">
        <v>569</v>
      </c>
      <c r="E10" s="13" t="s">
        <v>570</v>
      </c>
    </row>
    <row r="11" customFormat="false" ht="15" hidden="false" customHeight="false" outlineLevel="0" collapsed="false">
      <c r="D11" s="13" t="s">
        <v>571</v>
      </c>
      <c r="E11" s="13" t="s">
        <v>572</v>
      </c>
    </row>
    <row r="12" customFormat="false" ht="15" hidden="false" customHeight="false" outlineLevel="0" collapsed="false">
      <c r="D12" s="13" t="s">
        <v>573</v>
      </c>
      <c r="E12" s="13" t="s">
        <v>574</v>
      </c>
    </row>
    <row r="13" customFormat="false" ht="15" hidden="false" customHeight="false" outlineLevel="0" collapsed="false">
      <c r="D13" s="13" t="s">
        <v>575</v>
      </c>
      <c r="E13" s="13" t="s">
        <v>576</v>
      </c>
    </row>
    <row r="14" customFormat="false" ht="15" hidden="false" customHeight="false" outlineLevel="0" collapsed="false">
      <c r="D14" s="13" t="s">
        <v>577</v>
      </c>
    </row>
    <row r="15" customFormat="false" ht="15" hidden="false" customHeight="false" outlineLevel="0" collapsed="false">
      <c r="D15" s="13" t="s">
        <v>418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2026-10-09T18:45:47Z</dcterms:created>
  <dc:creator>openpyxl</dc:creator>
  <dc:description/>
  <dc:language>en-US</dc:language>
  <cp:lastModifiedBy/>
  <dcterms:modified xsi:type="dcterms:W3CDTF">2026-10-09T18:45:47Z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