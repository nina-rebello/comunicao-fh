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Visão do mês" sheetId="2" state="visible" r:id="rId2"/>
    <sheet name="Calendário" sheetId="3" state="visible" r:id="rId3"/>
    <sheet name="Formatos" sheetId="4" state="visible" r:id="rId4"/>
    <sheet name="Ciência" sheetId="5" state="visible" r:id="rId5"/>
    <sheet name="Fontes" sheetId="6" state="visible" r:id="rId6"/>
    <sheet name="Banco de ideias" sheetId="7" state="visible" r:id="rId7"/>
    <sheet name="Linhas e personas" sheetId="8" state="visible" r:id="rId8"/>
    <sheet name="Pendências" sheetId="9" state="visible" r:id="rId9"/>
    <sheet name="Listas" sheetId="10" state="visible" r:id="rId10"/>
  </sheets>
  <definedNames>
    <definedName name="_xlnm._FilterDatabase" localSheetId="2" hidden="1">'Calendário'!$A$4:$Z$81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1F3A36"/>
      <sz val="14"/>
    </font>
    <font>
      <name val="Arial"/>
      <sz val="10"/>
    </font>
    <font>
      <name val="Arial"/>
      <b val="1"/>
      <color rgb="001F3A36"/>
      <sz val="10"/>
    </font>
    <font>
      <name val="Arial"/>
      <b val="1"/>
      <color rgb="000000FF"/>
      <sz val="10"/>
    </font>
    <font>
      <name val="Arial"/>
      <i val="1"/>
      <sz val="9"/>
    </font>
    <font>
      <name val="Arial"/>
      <b val="1"/>
      <color rgb="001F3A36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9FC5BD"/>
      </patternFill>
    </fill>
  </fills>
  <borders count="6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  <border>
      <left/>
      <right/>
      <top style="thin">
        <color rgb="00C9D6D2"/>
      </top>
      <bottom/>
      <diagonal/>
    </border>
    <border>
      <left/>
      <right style="thin">
        <color rgb="00C9D6D2"/>
      </right>
      <top style="thin">
        <color rgb="00C9D6D2"/>
      </top>
      <bottom/>
      <diagonal/>
    </border>
    <border>
      <left/>
      <right/>
      <top style="thin">
        <color rgb="00C9D6D2"/>
      </top>
      <bottom style="thin">
        <color rgb="00C9D6D2"/>
      </bottom>
      <diagonal/>
    </border>
    <border>
      <left/>
      <right style="thin">
        <color rgb="00C9D6D2"/>
      </right>
      <top style="thin">
        <color rgb="00C9D6D2"/>
      </top>
      <bottom style="thin">
        <color rgb="00C9D6D2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1" pivotButton="0" quotePrefix="0" xfId="0"/>
    <xf numFmtId="0" fontId="3" fillId="3" borderId="1" pivotButton="0" quotePrefix="0" xfId="0"/>
    <xf numFmtId="0" fontId="2" fillId="0" borderId="0" pivotButton="0" quotePrefix="0" xfId="0"/>
    <xf numFmtId="165" fontId="4" fillId="2" borderId="0" pivotButton="0" quotePrefix="0" xfId="0"/>
    <xf numFmtId="165" fontId="2" fillId="0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D7EAE5"/>
        </patternFill>
      </fill>
    </dxf>
    <dxf>
      <fill>
        <patternFill patternType="solid">
          <fgColor rgb="00F7EBC5"/>
        </patternFill>
      </fill>
    </dxf>
    <dxf>
      <fill>
        <patternFill patternType="solid">
          <fgColor rgb="00DFE4F0"/>
        </patternFill>
      </fill>
    </dxf>
    <dxf>
      <font>
        <name val="Arial"/>
        <b val="1"/>
        <color rgb="001F3A36"/>
      </font>
    </dxf>
    <dxf>
      <fill>
        <patternFill patternType="solid">
          <fgColor rgb="00EEF5F3"/>
        </patternFill>
      </fill>
    </dxf>
    <dxf>
      <fill>
        <patternFill patternType="solid">
          <fgColor rgb="00F6E3DF"/>
        </patternFill>
      </fill>
    </dxf>
    <dxf>
      <fill>
        <patternFill patternType="solid">
          <fgColor rgb="00E3EEF6"/>
        </patternFill>
      </fill>
    </dxf>
    <dxf>
      <fill>
        <patternFill patternType="solid">
          <fgColor rgb="00E6F2E3"/>
        </patternFill>
      </fill>
    </dxf>
    <dxf>
      <fill>
        <patternFill patternType="solid">
          <fgColor rgb="00F3EC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Planejamento</author>
  </authors>
  <commentList>
    <comment ref="D2" authorId="0" shapeId="0">
      <text>
        <t>Data proposta para começar o mês (sugestão da revisão de 08/10). Mude aqui e todas as datas sugeridas se ajustam.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Calendário editorial · Fair Health · Instagram e LinkedIn</t>
        </is>
      </c>
    </row>
    <row r="2">
      <c r="A2" s="2" t="inlineStr">
        <is>
          <t>Versão de 09/10/2026: planejamento MENSAL (um mês por vez). A versão anterior, de 90 dias, está em marketing/arquivo/.</t>
        </is>
      </c>
    </row>
    <row r="3">
      <c r="A3" s="2" t="inlineStr"/>
    </row>
    <row r="4">
      <c r="A4" s="3" t="inlineStr">
        <is>
          <t>O mês conta uma história</t>
        </is>
      </c>
    </row>
    <row r="5">
      <c r="A5" s="2" t="inlineStr">
        <is>
          <t>Fio de todos os meses: "Cuidar antes". O plano de saúde trata depois; a Fair Health cuida antes, dentro da empresa, começando por uma pergunta.</t>
        </is>
      </c>
    </row>
    <row r="6">
      <c r="A6" s="2" t="inlineStr">
        <is>
          <t>Cada mês trabalha um argumento do grupo (aba Visão do mês) e cada semana é uma cena: Abertura/Dor ("isso é comigo?"), Virada ("como a Fair Health resolve?"), Prova ("por que acreditar?") e Convite ("como começo?").</t>
        </is>
      </c>
    </row>
    <row r="7">
      <c r="A7" s="2" t="inlineStr">
        <is>
          <t>Base: instagram/posicionamento-e-plano-mensal.md (análise da arquitetura de marcas e do posicionamento v3.2).</t>
        </is>
      </c>
    </row>
    <row r="8">
      <c r="A8" s="2" t="inlineStr"/>
    </row>
    <row r="9">
      <c r="A9" s="3" t="inlineStr">
        <is>
          <t>Restrições em vigor (09/10)</t>
        </is>
      </c>
    </row>
    <row r="10">
      <c r="A10" s="2" t="inlineStr">
        <is>
          <t>1. Não apresentamos o time por enquanto (questão administrativa). A série Quem cuida está na aba Banco de ideias, com status Adiada.</t>
        </is>
      </c>
    </row>
    <row r="11">
      <c r="A11" s="2" t="inlineStr">
        <is>
          <t>2. Não filmamos clientes: nada gravado dentro das empresas-clientes nem com pessoas atendidas. Os vídeos do mês são de tipografia, motion, gravação de tela ou imagem de banco (aba Formatos).</t>
        </is>
      </c>
    </row>
    <row r="12">
      <c r="A12" s="2" t="inlineStr">
        <is>
          <t>3. Nunca citamos nomes reais de pessoas ou empresas nos posts. Quando a história precisa de alguém, usamos personagem fictícia, sinalizada como "história ilustrativa". O artigo da RH Pra Você (25/09/2026) é citado só pelo título e pelo veículo.</t>
        </is>
      </c>
    </row>
    <row r="13">
      <c r="A13" s="2" t="inlineStr">
        <is>
          <t>4. Números são bem-vindos, mas o foco é o cuidado: a frase de cuidado vem primeiro e o número entra como contexto, em tom calmo, com a fonte visível (regras na aba Ciência).</t>
        </is>
      </c>
    </row>
    <row r="14">
      <c r="A14" s="2" t="inlineStr">
        <is>
          <t>5. Artigos científicos e fontes oficiais viram posts que conectam a evidência ao nosso trabalho (aba Ciência). Medicina do Estilo de Vida: 6 pilares, sem espiritualidade (a confirmar).</t>
        </is>
      </c>
    </row>
    <row r="15">
      <c r="A15" s="2" t="inlineStr"/>
    </row>
    <row r="16">
      <c r="A16" s="3" t="inlineStr">
        <is>
          <t>Como trabalhamos nesta planilha</t>
        </is>
      </c>
    </row>
    <row r="17">
      <c r="A17" s="2" t="inlineStr">
        <is>
          <t>1. Revisão mensal (conjunta): antes de o mês começar, revisamos temas, títulos, personas e datas. Pauta aprovada muda de "Pauta proposta" para "Pauta aprovada". Ao fim do mês, montamos o próximo a partir do Banco de ideias.</t>
        </is>
      </c>
    </row>
    <row r="18">
      <c r="A18" s="2" t="inlineStr">
        <is>
          <t>2. Detalhamento semanal: a cada semana, detalhamos texto, roteiro e criativo das peças da semana seguinte e passamos pela validação. A semana 1 já está detalhada.</t>
        </is>
      </c>
    </row>
    <row r="19">
      <c r="A19" s="2" t="inlineStr">
        <is>
          <t>3. Comentários: use a coluna "Comentários da revisão" ou comentários de célula. Não apague pautas descartadas: mude o status para "Descartada".</t>
        </is>
      </c>
    </row>
    <row r="20">
      <c r="A20" s="2" t="inlineStr">
        <is>
          <t>4. Datas: a data de início (célula amarela na aba Calendário) recalcula todas as datas sugeridas. Para mudar uma data só, digite a nova data por cima.</t>
        </is>
      </c>
    </row>
    <row r="21">
      <c r="A21" s="2" t="inlineStr"/>
    </row>
    <row r="22">
      <c r="A22" s="3" t="inlineStr">
        <is>
          <t>Cadência proposta (a validar)</t>
        </is>
      </c>
    </row>
    <row r="23">
      <c r="A23" s="2" t="inlineStr">
        <is>
          <t>4 publicações por semana no feed, alternando vídeo e estático/carrossel (2 vídeos por semana). As três linhas editoriais entram em rodízio: duas peças seguidas nunca são da mesma linha.</t>
        </is>
      </c>
    </row>
    <row r="24">
      <c r="A24" s="2" t="inlineStr">
        <is>
          <t>Os dias da semana NÃO estão definidos: as datas são uma distribuição sugerida (evitando feriados nacionais). Stories ficam fora da contagem e servem de apoio: link do artigo, caixa de perguntas, repost.</t>
        </is>
      </c>
    </row>
    <row r="25">
      <c r="A25" s="2" t="inlineStr"/>
    </row>
    <row r="26">
      <c r="A26" s="3" t="inlineStr">
        <is>
          <t>Marcações</t>
        </is>
      </c>
    </row>
    <row r="27">
      <c r="A27" s="2" t="inlineStr">
        <is>
          <t>[PENDENTE] = informação que ainda precisa ser confirmada. [SUGESTÃO] = posição ou texto proposto que precisa de aprovação.</t>
        </is>
      </c>
    </row>
    <row r="28">
      <c r="A28" s="2" t="inlineStr">
        <is>
          <t>Coluna "Validação necessária": tudo o que precisa de aval antes de publicar. Afirmações clínicas, benefícios, prazos e resultados passam pela responsável médica.</t>
        </is>
      </c>
    </row>
    <row r="29">
      <c r="A29" s="2" t="inlineStr">
        <is>
          <t>Usamos números liberados (aba Fontes) e números de estudos científicos e fontes oficiais com a referência completa (aba Ciência). Números do posicionamento sem fonte (23%, R$ 2.400, burnout) ficam de fora.</t>
        </is>
      </c>
    </row>
    <row r="30">
      <c r="A30" s="2" t="inlineStr"/>
    </row>
    <row r="31">
      <c r="A31" s="3" t="inlineStr">
        <is>
          <t>Fluxo de status</t>
        </is>
      </c>
    </row>
    <row r="32">
      <c r="A32" s="2" t="inlineStr">
        <is>
          <t>Ideia → Pauta proposta → Pauta aprovada → Aguardando material → Roteiro pronto → Em produção → Em revisão → Validação médica → Aprovado → Agendado → Publicado (ou Descartada / Aguardando pauta / Adiada)</t>
        </is>
      </c>
    </row>
    <row r="33">
      <c r="A33" s="2" t="inlineStr"/>
    </row>
    <row r="34">
      <c r="A34" s="3" t="inlineStr">
        <is>
          <t>Abas</t>
        </is>
      </c>
    </row>
    <row r="35">
      <c r="A35" s="2" t="inlineStr">
        <is>
          <t>Visão do mês: argumento, a história semana a semana e o equilíbrio do mês (contagens automáticas).</t>
        </is>
      </c>
    </row>
    <row r="36">
      <c r="A36" s="2" t="inlineStr">
        <is>
          <t>Calendário: as 16 pautas do mês, uma por linha, com Argumento, Cena, Persona e "Por que este formato".</t>
        </is>
      </c>
    </row>
    <row r="37">
      <c r="A37" s="2" t="inlineStr">
        <is>
          <t>Formatos: os formatos usados no mês, por que funcionam e o que cada um precisa para ser produzido sem time em cena e sem gravar nas empresas.</t>
        </is>
      </c>
    </row>
    <row r="38">
      <c r="A38" s="2" t="inlineStr">
        <is>
          <t>Ciência: estudos e fontes oficiais com referência, o que encontraram, como apresentar o número com suavidade e a ligação com o nosso trabalho.</t>
        </is>
      </c>
    </row>
    <row r="39">
      <c r="A39" s="2" t="inlineStr">
        <is>
          <t>Fontes: o artigo da RH Pra Você, os números internos liberados e o que não usar.</t>
        </is>
      </c>
    </row>
    <row r="40">
      <c r="A40" s="2" t="inlineStr">
        <is>
          <t>Banco de ideias: o que ficou para depois (com o motivo) e os temas dos próximos meses.</t>
        </is>
      </c>
    </row>
    <row r="41">
      <c r="A41" s="2" t="inlineStr">
        <is>
          <t>Linhas e personas · Pendências · Listas (valores das listas suspensas).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16" customWidth="1" min="4" max="4"/>
    <col width="9" customWidth="1" min="5" max="5"/>
    <col width="9" customWidth="1" min="6" max="6"/>
    <col width="13" customWidth="1" min="7" max="7"/>
    <col width="10" customWidth="1" min="8" max="8"/>
    <col width="10" customWidth="1" min="9" max="9"/>
  </cols>
  <sheetData>
    <row r="1">
      <c r="A1" s="4" t="inlineStr">
        <is>
          <t>Visão do mês: o capítulo e o equilíbrio</t>
        </is>
      </c>
    </row>
    <row r="2">
      <c r="A2" s="5" t="inlineStr">
        <is>
          <t>Primeiro nível do planejamento. As contagens são automáticas e servem para a checagem de equilíbrio na revisão mensal.</t>
        </is>
      </c>
    </row>
    <row r="4">
      <c r="A4" s="6" t="inlineStr">
        <is>
          <t>Mês</t>
        </is>
      </c>
      <c r="B4" s="7" t="inlineStr">
        <is>
          <t>Mês 1</t>
        </is>
      </c>
      <c r="C4" s="8" t="n"/>
      <c r="D4" s="8" t="n"/>
      <c r="E4" s="8" t="n"/>
      <c r="F4" s="8" t="n"/>
      <c r="G4" s="8" t="n"/>
      <c r="H4" s="9" t="n"/>
    </row>
    <row r="5">
      <c r="A5" s="6" t="inlineStr">
        <is>
          <t>Período</t>
        </is>
      </c>
      <c r="B5" s="7">
        <f>TEXT('Calendário'!$D$2,"DD/MM")&amp;" a "&amp;TEXT('Calendário'!$D$2+27,"DD/MM")</f>
        <v/>
      </c>
      <c r="C5" s="8" t="n"/>
      <c r="D5" s="8" t="n"/>
      <c r="E5" s="8" t="n"/>
      <c r="F5" s="8" t="n"/>
      <c r="G5" s="8" t="n"/>
      <c r="H5" s="9" t="n"/>
    </row>
    <row r="6">
      <c r="A6" s="6" t="inlineStr">
        <is>
          <t>Capítulo</t>
        </is>
      </c>
      <c r="B6" s="7" t="inlineStr">
        <is>
          <t>"Tudo começa com uma pergunta": quem somos, por que cuidar antes e como o cuidado funciona.</t>
        </is>
      </c>
      <c r="C6" s="8" t="n"/>
      <c r="D6" s="8" t="n"/>
      <c r="E6" s="8" t="n"/>
      <c r="F6" s="8" t="n"/>
      <c r="G6" s="8" t="n"/>
      <c r="H6" s="9" t="n"/>
    </row>
    <row r="7">
      <c r="A7" s="6" t="inlineStr">
        <is>
          <t>Argumento principal</t>
        </is>
      </c>
      <c r="B7" s="7" t="inlineStr">
        <is>
          <t>Liderança Bem-Estar, com a apresentação da marca. A NR-1 entra como contexto (artigo da RH Pra Você) e a ciência sustenta o mês (OMS, Diabetes Prevention Program, RAND).</t>
        </is>
      </c>
      <c r="C7" s="8" t="n"/>
      <c r="D7" s="8" t="n"/>
      <c r="E7" s="8" t="n"/>
      <c r="F7" s="8" t="n"/>
      <c r="G7" s="8" t="n"/>
      <c r="H7" s="9" t="n"/>
    </row>
    <row r="8">
      <c r="A8" s="6" t="inlineStr">
        <is>
          <t>Mensagem do mês</t>
        </is>
      </c>
      <c r="B8" s="7" t="inlineStr">
        <is>
          <t>Todo afastamento tem um antes. A Fair Health cuida nesse antes: dentro da empresa, com gente de verdade, começando por uma pergunta.</t>
        </is>
      </c>
      <c r="C8" s="8" t="n"/>
      <c r="D8" s="8" t="n"/>
      <c r="E8" s="8" t="n"/>
      <c r="F8" s="8" t="n"/>
      <c r="G8" s="8" t="n"/>
      <c r="H8" s="9" t="n"/>
    </row>
    <row r="9">
      <c r="A9" s="6" t="inlineStr">
        <is>
          <t>Frase-tese</t>
        </is>
      </c>
      <c r="B9" s="7" t="inlineStr">
        <is>
          <t>Não é benefício. É infraestrutura de cuidado.</t>
        </is>
      </c>
      <c r="C9" s="8" t="n"/>
      <c r="D9" s="8" t="n"/>
      <c r="E9" s="8" t="n"/>
      <c r="F9" s="8" t="n"/>
      <c r="G9" s="8" t="n"/>
      <c r="H9" s="9" t="n"/>
    </row>
    <row r="10">
      <c r="A10" s="6" t="inlineStr">
        <is>
          <t>Restrições</t>
        </is>
      </c>
      <c r="B10" s="7" t="inlineStr">
        <is>
          <t>Sem apresentar o time (questão administrativa), sem filmar clientes e sem nomes reais (personagens fictícias quando preciso). Vídeos de tipografia, motion, gravação de tela ou imagem de banco.</t>
        </is>
      </c>
      <c r="C10" s="8" t="n"/>
      <c r="D10" s="8" t="n"/>
      <c r="E10" s="8" t="n"/>
      <c r="F10" s="8" t="n"/>
      <c r="G10" s="8" t="n"/>
      <c r="H10" s="9" t="n"/>
    </row>
    <row r="11">
      <c r="A11" s="6" t="inlineStr">
        <is>
          <t>Números</t>
        </is>
      </c>
      <c r="B11" s="7" t="inlineStr">
        <is>
          <t>Sim, com suavidade: cuidado primeiro, número como contexto, fonte visível. Um número principal por peça.</t>
        </is>
      </c>
      <c r="C11" s="8" t="n"/>
      <c r="D11" s="8" t="n"/>
      <c r="E11" s="8" t="n"/>
      <c r="F11" s="8" t="n"/>
      <c r="G11" s="8" t="n"/>
      <c r="H11" s="9" t="n"/>
    </row>
    <row r="12">
      <c r="A12" s="6" t="inlineStr">
        <is>
          <t>Datas do calendário</t>
        </is>
      </c>
      <c r="B12" s="7" t="inlineStr">
        <is>
          <t>02/11 feriado (Finados): a semana 3 começa na terça. 14/11 (sábado) Dia Mundial do Diabetes: post de ciência na véspera (M1-16) e stories no dia. Novembro Azul: só se houver conexão real.</t>
        </is>
      </c>
      <c r="C12" s="8" t="n"/>
      <c r="D12" s="8" t="n"/>
      <c r="E12" s="8" t="n"/>
      <c r="F12" s="8" t="n"/>
      <c r="G12" s="8" t="n"/>
      <c r="H12" s="9" t="n"/>
    </row>
    <row r="14">
      <c r="A14" s="10" t="inlineStr">
        <is>
          <t>A história semana a semana</t>
        </is>
      </c>
    </row>
    <row r="15">
      <c r="A15" s="11" t="inlineStr">
        <is>
          <t>Semana</t>
        </is>
      </c>
      <c r="B15" s="11" t="inlineStr">
        <is>
          <t>Cena</t>
        </is>
      </c>
      <c r="C15" s="11" t="inlineStr">
        <is>
          <t>Pergunta que responde</t>
        </is>
      </c>
      <c r="D15" s="11" t="inlineStr">
        <is>
          <t>Peças (IDs)</t>
        </is>
      </c>
      <c r="E15" s="11" t="inlineStr">
        <is>
          <t>Total</t>
        </is>
      </c>
      <c r="F15" s="11" t="inlineStr">
        <is>
          <t>Vídeos</t>
        </is>
      </c>
      <c r="G15" s="11" t="inlineStr">
        <is>
          <t>Institucional</t>
        </is>
      </c>
      <c r="H15" s="11" t="inlineStr">
        <is>
          <t>Produto</t>
        </is>
      </c>
      <c r="I15" s="11" t="inlineStr">
        <is>
          <t>Projetos</t>
        </is>
      </c>
    </row>
    <row r="16">
      <c r="A16" s="7" t="n">
        <v>1</v>
      </c>
      <c r="B16" s="7" t="inlineStr">
        <is>
          <t>Abertura e Dor</t>
        </is>
      </c>
      <c r="C16" s="7" t="inlineStr">
        <is>
          <t>"Isso é comigo?" A marca se apresenta e o RH se reconhece no problema.</t>
        </is>
      </c>
      <c r="D16" s="7" t="inlineStr">
        <is>
          <t>M1-01 a M1-04</t>
        </is>
      </c>
      <c r="E16" s="7">
        <f>COUNTIFS('Calendário'!$C$5:$C$400,$A16)</f>
        <v/>
      </c>
      <c r="F16" s="7">
        <f>COUNTIFS('Calendário'!$C$5:$C$400,$A16,'Calendário'!$N$5:$N$400,"Vídeo")</f>
        <v/>
      </c>
      <c r="G16" s="7">
        <f>COUNTIFS('Calendário'!$C$5:$C$400,$A16,'Calendário'!$E$5:$E$400,"Institucional")</f>
        <v/>
      </c>
      <c r="H16" s="7">
        <f>COUNTIFS('Calendário'!$C$5:$C$400,$A16,'Calendário'!$E$5:$E$400,"Produto")</f>
        <v/>
      </c>
      <c r="I16" s="7">
        <f>COUNTIFS('Calendário'!$C$5:$C$400,$A16,'Calendário'!$E$5:$E$400,"Projetos, eventos e entregas")</f>
        <v/>
      </c>
    </row>
    <row r="17">
      <c r="A17" s="7" t="n">
        <v>2</v>
      </c>
      <c r="B17" s="7" t="inlineStr">
        <is>
          <t>Virada</t>
        </is>
      </c>
      <c r="C17" s="7" t="inlineStr">
        <is>
          <t>"Como a Fair Health resolve?" Método, tese e o que o RH recebe.</t>
        </is>
      </c>
      <c r="D17" s="7" t="inlineStr">
        <is>
          <t>M1-05 a M1-08</t>
        </is>
      </c>
      <c r="E17" s="7">
        <f>COUNTIFS('Calendário'!$C$5:$C$400,$A17)</f>
        <v/>
      </c>
      <c r="F17" s="7">
        <f>COUNTIFS('Calendário'!$C$5:$C$400,$A17,'Calendário'!$N$5:$N$400,"Vídeo")</f>
        <v/>
      </c>
      <c r="G17" s="7">
        <f>COUNTIFS('Calendário'!$C$5:$C$400,$A17,'Calendário'!$E$5:$E$400,"Institucional")</f>
        <v/>
      </c>
      <c r="H17" s="7">
        <f>COUNTIFS('Calendário'!$C$5:$C$400,$A17,'Calendário'!$E$5:$E$400,"Produto")</f>
        <v/>
      </c>
      <c r="I17" s="7">
        <f>COUNTIFS('Calendário'!$C$5:$C$400,$A17,'Calendário'!$E$5:$E$400,"Projetos, eventos e entregas")</f>
        <v/>
      </c>
    </row>
    <row r="18">
      <c r="A18" s="7" t="n">
        <v>3</v>
      </c>
      <c r="B18" s="7" t="inlineStr">
        <is>
          <t>Prova</t>
        </is>
      </c>
      <c r="C18" s="7" t="inlineStr">
        <is>
          <t>"Por que acreditar?" Adesão, acompanhamento, origem e autoridade.</t>
        </is>
      </c>
      <c r="D18" s="7" t="inlineStr">
        <is>
          <t>M1-09 a M1-12</t>
        </is>
      </c>
      <c r="E18" s="7">
        <f>COUNTIFS('Calendário'!$C$5:$C$400,$A18)</f>
        <v/>
      </c>
      <c r="F18" s="7">
        <f>COUNTIFS('Calendário'!$C$5:$C$400,$A18,'Calendário'!$N$5:$N$400,"Vídeo")</f>
        <v/>
      </c>
      <c r="G18" s="7">
        <f>COUNTIFS('Calendário'!$C$5:$C$400,$A18,'Calendário'!$E$5:$E$400,"Institucional")</f>
        <v/>
      </c>
      <c r="H18" s="7">
        <f>COUNTIFS('Calendário'!$C$5:$C$400,$A18,'Calendário'!$E$5:$E$400,"Produto")</f>
        <v/>
      </c>
      <c r="I18" s="7">
        <f>COUNTIFS('Calendário'!$C$5:$C$400,$A18,'Calendário'!$E$5:$E$400,"Projetos, eventos e entregas")</f>
        <v/>
      </c>
    </row>
    <row r="19">
      <c r="A19" s="7" t="n">
        <v>4</v>
      </c>
      <c r="B19" s="7" t="inlineStr">
        <is>
          <t>Convite</t>
        </is>
      </c>
      <c r="C19" s="7" t="inlineStr">
        <is>
          <t>"Como começo?" Para o colaborador, o líder e o RH, com a ciência por trás do cuidado.</t>
        </is>
      </c>
      <c r="D19" s="7" t="inlineStr">
        <is>
          <t>M1-13 a M1-16</t>
        </is>
      </c>
      <c r="E19" s="7">
        <f>COUNTIFS('Calendário'!$C$5:$C$400,$A19)</f>
        <v/>
      </c>
      <c r="F19" s="7">
        <f>COUNTIFS('Calendário'!$C$5:$C$400,$A19,'Calendário'!$N$5:$N$400,"Vídeo")</f>
        <v/>
      </c>
      <c r="G19" s="7">
        <f>COUNTIFS('Calendário'!$C$5:$C$400,$A19,'Calendário'!$E$5:$E$400,"Institucional")</f>
        <v/>
      </c>
      <c r="H19" s="7">
        <f>COUNTIFS('Calendário'!$C$5:$C$400,$A19,'Calendário'!$E$5:$E$400,"Produto")</f>
        <v/>
      </c>
      <c r="I19" s="7">
        <f>COUNTIFS('Calendário'!$C$5:$C$400,$A19,'Calendário'!$E$5:$E$400,"Projetos, eventos e entregas")</f>
        <v/>
      </c>
    </row>
    <row r="20">
      <c r="A20" s="12" t="inlineStr">
        <is>
          <t>Total</t>
        </is>
      </c>
      <c r="E20" s="13">
        <f>SUM(E16:E19)</f>
        <v/>
      </c>
      <c r="F20" s="13">
        <f>SUM(F16:F19)</f>
        <v/>
      </c>
      <c r="G20" s="13">
        <f>SUM(G16:G19)</f>
        <v/>
      </c>
      <c r="H20" s="13">
        <f>SUM(H16:H19)</f>
        <v/>
      </c>
      <c r="I20" s="13">
        <f>SUM(I16:I19)</f>
        <v/>
      </c>
    </row>
    <row r="22">
      <c r="A22" s="10" t="inlineStr">
        <is>
          <t>Equilíbrio por argumento e por cena</t>
        </is>
      </c>
    </row>
    <row r="23">
      <c r="A23" s="14" t="inlineStr">
        <is>
          <t>Argumento</t>
        </is>
      </c>
      <c r="B23" s="14" t="inlineStr">
        <is>
          <t>Peças</t>
        </is>
      </c>
      <c r="D23" s="14" t="inlineStr">
        <is>
          <t>Cena</t>
        </is>
      </c>
      <c r="E23" s="14" t="inlineStr">
        <is>
          <t>Peças</t>
        </is>
      </c>
      <c r="G23" s="14" t="inlineStr">
        <is>
          <t>Pautas com validação médica</t>
        </is>
      </c>
    </row>
    <row r="24">
      <c r="A24" s="15" t="inlineStr">
        <is>
          <t>Apresentação</t>
        </is>
      </c>
      <c r="B24" s="15">
        <f>COUNTIFS('Calendário'!$F$5:$F$400,$A24)</f>
        <v/>
      </c>
      <c r="D24" s="15" t="inlineStr">
        <is>
          <t>Abertura</t>
        </is>
      </c>
      <c r="E24" s="15">
        <f>COUNTIFS('Calendário'!$G$5:$G$400,$D24)</f>
        <v/>
      </c>
      <c r="G24" s="15">
        <f>SUMPRODUCT(('Calendário'!$B$5:$B$400&lt;&gt;"")*ISNUMBER(SEARCH("responsável médica",'Calendário'!$T$5:$T$400)))</f>
        <v/>
      </c>
    </row>
    <row r="25">
      <c r="A25" s="15" t="inlineStr">
        <is>
          <t>Liderança Bem-Estar</t>
        </is>
      </c>
      <c r="B25" s="15">
        <f>COUNTIFS('Calendário'!$F$5:$F$400,$A25)</f>
        <v/>
      </c>
      <c r="D25" s="15" t="inlineStr">
        <is>
          <t>Dor</t>
        </is>
      </c>
      <c r="E25" s="15">
        <f>COUNTIFS('Calendário'!$G$5:$G$400,$D25)</f>
        <v/>
      </c>
    </row>
    <row r="26">
      <c r="A26" s="15" t="inlineStr">
        <is>
          <t>NR-1</t>
        </is>
      </c>
      <c r="B26" s="15">
        <f>COUNTIFS('Calendário'!$F$5:$F$400,$A26)</f>
        <v/>
      </c>
      <c r="D26" s="15" t="inlineStr">
        <is>
          <t>Virada</t>
        </is>
      </c>
      <c r="E26" s="15">
        <f>COUNTIFS('Calendário'!$G$5:$G$400,$D26)</f>
        <v/>
      </c>
    </row>
    <row r="27">
      <c r="A27" s="15" t="inlineStr">
        <is>
          <t>Stop Loss</t>
        </is>
      </c>
      <c r="B27" s="15">
        <f>COUNTIFS('Calendário'!$F$5:$F$400,$A27)</f>
        <v/>
      </c>
      <c r="D27" s="15" t="inlineStr">
        <is>
          <t>Prova</t>
        </is>
      </c>
      <c r="E27" s="15">
        <f>COUNTIFS('Calendário'!$G$5:$G$400,$D27)</f>
        <v/>
      </c>
    </row>
    <row r="28">
      <c r="A28" s="15" t="inlineStr">
        <is>
          <t>Ambiente positivo</t>
        </is>
      </c>
      <c r="B28" s="15">
        <f>COUNTIFS('Calendário'!$F$5:$F$400,$A28)</f>
        <v/>
      </c>
      <c r="D28" s="15" t="inlineStr">
        <is>
          <t>Convite</t>
        </is>
      </c>
      <c r="E28" s="15">
        <f>COUNTIFS('Calendário'!$G$5:$G$400,$D28)</f>
        <v/>
      </c>
    </row>
    <row r="29">
      <c r="A29" s="15" t="inlineStr">
        <is>
          <t>Marca empregadora</t>
        </is>
      </c>
      <c r="B29" s="15">
        <f>COUNTIFS('Calendário'!$F$5:$F$400,$A29)</f>
        <v/>
      </c>
    </row>
  </sheetData>
  <mergeCells count="9">
    <mergeCell ref="B8:H8"/>
    <mergeCell ref="B9:H9"/>
    <mergeCell ref="B4:H4"/>
    <mergeCell ref="B12:H12"/>
    <mergeCell ref="B6:H6"/>
    <mergeCell ref="B7:H7"/>
    <mergeCell ref="B10:H10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16" customWidth="1" min="5" max="5"/>
    <col width="16" customWidth="1" min="6" max="6"/>
    <col width="11" customWidth="1" min="7" max="7"/>
    <col width="20" customWidth="1" min="8" max="8"/>
    <col width="22" customWidth="1" min="9" max="9"/>
    <col width="36" customWidth="1" min="10" max="10"/>
    <col width="20" customWidth="1" min="11" max="11"/>
    <col width="34" customWidth="1" min="12" max="12"/>
    <col width="28" customWidth="1" min="13" max="13"/>
    <col width="11" customWidth="1" min="14" max="14"/>
    <col width="40" customWidth="1" min="15" max="15"/>
    <col width="18" customWidth="1" min="16" max="16"/>
    <col width="24" customWidth="1" min="17" max="17"/>
    <col width="44" customWidth="1" min="18" max="18"/>
    <col width="34" customWidth="1" min="19" max="19"/>
    <col width="40" customWidth="1" min="20" max="20"/>
    <col width="16" customWidth="1" min="21" max="21"/>
    <col width="50" customWidth="1" min="22" max="22"/>
    <col width="50" customWidth="1" min="23" max="23"/>
    <col width="40" customWidth="1" min="24" max="24"/>
    <col width="14" customWidth="1" min="25" max="25"/>
    <col width="36" customWidth="1" min="26" max="26"/>
  </cols>
  <sheetData>
    <row r="1">
      <c r="A1" s="4" t="inlineStr">
        <is>
          <t>Calendário editorial · Fair Health · Mês 1</t>
        </is>
      </c>
    </row>
    <row r="2">
      <c r="A2" s="12" t="inlineStr">
        <is>
          <t>Início do mês (segunda-feira):</t>
        </is>
      </c>
      <c r="D2" s="16" t="n">
        <v>46314</v>
      </c>
      <c r="E2" s="5" t="inlineStr">
        <is>
          <t>Mude a data amarela para reposicionar o mês. Os dias da semana são só sugestão.</t>
        </is>
      </c>
    </row>
    <row r="4" ht="30" customHeight="1">
      <c r="A4" s="11" t="inlineStr">
        <is>
          <t>ID</t>
        </is>
      </c>
      <c r="B4" s="11" t="inlineStr">
        <is>
          <t>Mês</t>
        </is>
      </c>
      <c r="C4" s="11" t="inlineStr">
        <is>
          <t>Semana</t>
        </is>
      </c>
      <c r="D4" s="11" t="inlineStr">
        <is>
          <t>Data sugerida</t>
        </is>
      </c>
      <c r="E4" s="11" t="inlineStr">
        <is>
          <t>Linha editorial</t>
        </is>
      </c>
      <c r="F4" s="11" t="inlineStr">
        <is>
          <t>Argumento</t>
        </is>
      </c>
      <c r="G4" s="11" t="inlineStr">
        <is>
          <t>Cena</t>
        </is>
      </c>
      <c r="H4" s="11" t="inlineStr">
        <is>
          <t>Tema</t>
        </is>
      </c>
      <c r="I4" s="11" t="inlineStr">
        <is>
          <t>Série (parte)</t>
        </is>
      </c>
      <c r="J4" s="11" t="inlineStr">
        <is>
          <t>Título provisório</t>
        </is>
      </c>
      <c r="K4" s="11" t="inlineStr">
        <is>
          <t>Persona</t>
        </is>
      </c>
      <c r="L4" s="11" t="inlineStr">
        <is>
          <t>Necessidade ou pergunta da persona</t>
        </is>
      </c>
      <c r="M4" s="11" t="inlineStr">
        <is>
          <t>Objetivo</t>
        </is>
      </c>
      <c r="N4" s="11" t="inlineStr">
        <is>
          <t>Formato</t>
        </is>
      </c>
      <c r="O4" s="11" t="inlineStr">
        <is>
          <t>Por que este formato</t>
        </is>
      </c>
      <c r="P4" s="11" t="inlineStr">
        <is>
          <t>Canal</t>
        </is>
      </c>
      <c r="Q4" s="11" t="inlineStr">
        <is>
          <t>Collab / perfis</t>
        </is>
      </c>
      <c r="R4" s="11" t="inlineStr">
        <is>
          <t>Mensagem principal</t>
        </is>
      </c>
      <c r="S4" s="11" t="inlineStr">
        <is>
          <t>Fonte</t>
        </is>
      </c>
      <c r="T4" s="11" t="inlineStr">
        <is>
          <t>Validação necessária</t>
        </is>
      </c>
      <c r="U4" s="11" t="inlineStr">
        <is>
          <t>Status</t>
        </is>
      </c>
      <c r="V4" s="11" t="inlineStr">
        <is>
          <t>Texto / legenda</t>
        </is>
      </c>
      <c r="W4" s="11" t="inlineStr">
        <is>
          <t>Roteiro / estrutura</t>
        </is>
      </c>
      <c r="X4" s="11" t="inlineStr">
        <is>
          <t>Criativo (modelo e arte)</t>
        </is>
      </c>
      <c r="Y4" s="11" t="inlineStr">
        <is>
          <t>Responsável</t>
        </is>
      </c>
      <c r="Z4" s="11" t="inlineStr">
        <is>
          <t>Comentários da revisão</t>
        </is>
      </c>
    </row>
    <row r="5">
      <c r="A5" s="7" t="inlineStr">
        <is>
          <t>M1-01</t>
        </is>
      </c>
      <c r="B5" s="7" t="inlineStr">
        <is>
          <t>Mês 1</t>
        </is>
      </c>
      <c r="C5" s="7" t="n">
        <v>1</v>
      </c>
      <c r="D5" s="17">
        <f>$D$2+(C5-1)*7+0</f>
        <v/>
      </c>
      <c r="E5" s="7" t="inlineStr">
        <is>
          <t>Institucional</t>
        </is>
      </c>
      <c r="F5" s="7" t="inlineStr">
        <is>
          <t>Apresentação</t>
        </is>
      </c>
      <c r="G5" s="7" t="inlineStr">
        <is>
          <t>Abertura</t>
        </is>
      </c>
      <c r="H5" s="7" t="inlineStr">
        <is>
          <t>Apresentação da Fair Health</t>
        </is>
      </c>
      <c r="I5" s="7" t="n"/>
      <c r="J5" s="7" t="inlineStr">
        <is>
          <t>Antes de qualquer exame, uma conversa</t>
        </is>
      </c>
      <c r="K5" s="7" t="inlineStr">
        <is>
          <t>Colaboradores; RH</t>
        </is>
      </c>
      <c r="L5" s="7" t="inlineStr">
        <is>
          <t>O que é a Fair Health e o que ela faz dentro da empresa?</t>
        </is>
      </c>
      <c r="M5" s="7" t="inlineStr">
        <is>
          <t>Apresentar a marca e o jeito de cuidar</t>
        </is>
      </c>
      <c r="N5" s="7" t="inlineStr">
        <is>
          <t>Vídeo</t>
        </is>
      </c>
      <c r="O5" s="7" t="inlineStr">
        <is>
          <t>Vídeo de abertura com a pergunta da marca: apresenta em 30 s o que é, onde fica e como começa. Texto na tela para quem assiste sem som.</t>
        </is>
      </c>
      <c r="P5" s="7" t="inlineStr">
        <is>
          <t>Instagram + LinkedIn</t>
        </is>
      </c>
      <c r="Q5" s="7" t="inlineStr">
        <is>
          <t>FairJob</t>
        </is>
      </c>
      <c r="R5" s="7" t="inlineStr">
        <is>
          <t>A Fair Health leva o cuidado para dentro da empresa, e todo cuidado começa com uma pergunta: o que é importante para você?</t>
        </is>
      </c>
      <c r="S5" s="7" t="inlineStr">
        <is>
          <t>Posicionamento Fair Health v3.2 (promessa e pergunta).</t>
        </is>
      </c>
      <c r="T5" s="7" t="inlineStr">
        <is>
          <t>Roteiro e legenda citam assistentes sociais: confirmar se fazem parte do atendimento (o posicionamento cita médico e psicológico). Sem time em cena e sem gravar nas empresas-clientes (decisão de 09/10). Definir onde gravar (local próprio ou neutro) ou montar com fotos e tipografia.</t>
        </is>
      </c>
      <c r="U5" s="7" t="inlineStr">
        <is>
          <t>Roteiro pronto</t>
        </is>
      </c>
      <c r="V5" s="7" t="inlineStr">
        <is>
          <t>Antes de qualquer exame, uma conversa.
Esse é o Escritório do Cuidado: um espaço dentro da empresa, com médicos, psicólogos e assistentes sociais, perto de quem trabalha.
Aqui, todo cuidado começa com a mesma pergunta: o que é importante para você? A partir da resposta, montamos juntos um plano que cabe na sua rotina e seguimos acompanhando.
Seja bem-vindo. Nos próximos dias, a gente mostra como esse cuidado funciona.
#fairhealth #saudecorporativa #cuidadocentradonapessoa #medicinadoestilodevida #saudedotrabalhador</t>
        </is>
      </c>
      <c r="W5" s="7" t="inlineStr">
        <is>
          <t>Reel de 30 a 34 s (instagram/primeiros-posts-acolhimento.md, ID 1).
0–3 s: "Antes de qualquer exame, a gente começa com uma conversa." Porta se abrindo.
3–9 s: o espaço (recepção, copa, sala), sem pessoas.
9–16 s: detalhes que acolhem: mãos servindo café, cadeira puxada, sem rosto.
16–23 s: a pergunta "O que é importante para você?" aparece na tela, em voz em off.
23–30 s: a partir da resposta, um cuidado que cabe na rotina.
30–34 s: logo e assinatura.</t>
        </is>
      </c>
      <c r="X5" s="7" t="inlineStr">
        <is>
          <t>Vídeo 1080x1920. Texto na tela dentro da área segura. Capa no modelo M1 (Tiffany, pergunta), conferindo o recorte da grade. LinkedIn: mesmo vídeo, legenda adaptada para RH.</t>
        </is>
      </c>
      <c r="Y5" s="7" t="n"/>
      <c r="Z5" s="7" t="inlineStr">
        <is>
          <t>Aprovado na revisão de 09/10. Ajustes pelas restrições de 09/10: a legenda não promete mais apresentar o time ("você vai conhecer quem cuida" virou "a gente mostra como esse cuidado funciona") e, no roteiro, a pergunta entra na tela em voz em off (antes cada integrante dizia um pedaço).</t>
        </is>
      </c>
    </row>
    <row r="6">
      <c r="A6" s="7" t="inlineStr">
        <is>
          <t>M1-02</t>
        </is>
      </c>
      <c r="B6" s="7" t="inlineStr">
        <is>
          <t>Mês 1</t>
        </is>
      </c>
      <c r="C6" s="7" t="n">
        <v>1</v>
      </c>
      <c r="D6" s="17">
        <f>$D$2+(C6-1)*7+1</f>
        <v/>
      </c>
      <c r="E6" s="7" t="inlineStr">
        <is>
          <t>Produto</t>
        </is>
      </c>
      <c r="F6" s="7" t="inlineStr">
        <is>
          <t>Apresentação</t>
        </is>
      </c>
      <c r="G6" s="7" t="inlineStr">
        <is>
          <t>Abertura</t>
        </is>
      </c>
      <c r="H6" s="7" t="inlineStr">
        <is>
          <t>Escritório do Cuidado</t>
        </is>
      </c>
      <c r="I6" s="7" t="inlineStr">
        <is>
          <t>Como funciona o cuidado (1/3): o percurso</t>
        </is>
      </c>
      <c r="J6" s="7" t="inlineStr">
        <is>
          <t>Aqui, o cuidado começa com uma pergunta</t>
        </is>
      </c>
      <c r="K6" s="7" t="inlineStr">
        <is>
          <t>Colaboradores</t>
        </is>
      </c>
      <c r="L6" s="7" t="inlineStr">
        <is>
          <t>O que acontece quando eu vou ao Escritório do Cuidado? Vou ser julgado? O que eu contar fica entre nós?</t>
        </is>
      </c>
      <c r="M6" s="7" t="inlineStr">
        <is>
          <t>Explicar o percurso do atendimento e reduzir a barreira de ir</t>
        </is>
      </c>
      <c r="N6" s="7" t="inlineStr">
        <is>
          <t>Carrossel</t>
        </is>
      </c>
      <c r="O6" s="7" t="inlineStr">
        <is>
          <t>Carrossel passo a passo: o formato mais salvo em conteúdo explicativo. Responde as objeções (julgamento, sigilo) uma por slide.</t>
        </is>
      </c>
      <c r="P6" s="7" t="inlineStr">
        <is>
          <t>Instagram + LinkedIn</t>
        </is>
      </c>
      <c r="Q6" s="7" t="inlineStr">
        <is>
          <t>FairJob</t>
        </is>
      </c>
      <c r="R6" s="7" t="inlineStr">
        <is>
          <t>Primeiro a gente te ouve e entende sua rotina; depois monta o plano com você e acompanha. O que você conta fica entre você e quem cuida.</t>
        </is>
      </c>
      <c r="S6" s="7" t="inlineStr">
        <is>
          <t>Cartilha do Escritório do Cuidado.</t>
        </is>
      </c>
      <c r="T6" s="7" t="inlineStr">
        <is>
          <t>Responsável médica confere as etapas citadas (anamnese, bioimpedância, smartband por 48 horas, retorno).</t>
        </is>
      </c>
      <c r="U6" s="7" t="inlineStr">
        <is>
          <t>Em revisão</t>
        </is>
      </c>
      <c r="V6" s="7" t="inlineStr">
        <is>
          <t>Aqui, o cuidado começa com uma pergunta: o que é importante para você?
Antes de exame, antes de número, a gente quer saber da sua rotina, do seu trabalho, do que anda pesando e do que você gostaria de mudar.
O Escritório do Cuidado fica dentro da empresa, perto de onde você já está. Lá, médicos e psicólogos se revezam para montar com você um cuidado que caiba na sua vida, com base na Medicina do Estilo de Vida.
O objetivo da fairhealth é melhorar a qualidade de vida de quem trabalha, com um cuidado feito para cada pessoa e acompanhado de perto.
E o que você conta fica entre você e quem cuida.
Arrasta para o lado para ver como funciona.
#fairhealth #saudecorporativa #cuidadocentradonapessoa #medicinadoestilodevida #saudedotrabalhador</t>
        </is>
      </c>
      <c r="W6" s="7" t="inlineStr">
        <is>
          <t>10 slides: 1 capa (pergunta) · 2 fica dentro da empresa · 3 gente que cuida de gente · 4 Passo 1: a gente te conhece · 5 Passo 2: o que é importante para você? · 6 Passo 3: entender antes de propor (bioimpedância e smartband por 48 h) · 7 Passo 4: o plano é seu · 8 Passo 5: retorno e acompanhamento · 9 sigilo · 10 convite para comentar.</t>
        </is>
      </c>
      <c r="X6" s="7" t="inlineStr">
        <is>
          <t>Arte no Canva (design DAHW6JfDldU, 11 páginas): escolher entre as versões originais e as novas dos slides 1, 5, 7, 9 e 10. Modelos M1, M2 e M3. LinkedIn: exportar em PDF.</t>
        </is>
      </c>
      <c r="Y6" s="7" t="n"/>
      <c r="Z6" s="7" t="inlineStr">
        <is>
          <t>Conferir o slide 3 ("gente que cuida de gente"): não pode ter foto ou nome de integrante do time.</t>
        </is>
      </c>
    </row>
    <row r="7">
      <c r="A7" s="7" t="inlineStr">
        <is>
          <t>M1-03</t>
        </is>
      </c>
      <c r="B7" s="7" t="inlineStr">
        <is>
          <t>Mês 1</t>
        </is>
      </c>
      <c r="C7" s="7" t="n">
        <v>1</v>
      </c>
      <c r="D7" s="17">
        <f>$D$2+(C7-1)*7+3</f>
        <v/>
      </c>
      <c r="E7" s="7" t="inlineStr">
        <is>
          <t>Institucional</t>
        </is>
      </c>
      <c r="F7" s="7" t="inlineStr">
        <is>
          <t>Liderança Bem-Estar</t>
        </is>
      </c>
      <c r="G7" s="7" t="inlineStr">
        <is>
          <t>Dor</t>
        </is>
      </c>
      <c r="H7" s="7" t="inlineStr">
        <is>
          <t>Cuidar antes (manifesto)</t>
        </is>
      </c>
      <c r="I7" s="7" t="n"/>
      <c r="J7" s="7" t="inlineStr">
        <is>
          <t>Antes do afastamento, teve um sinal</t>
        </is>
      </c>
      <c r="K7" s="7" t="inlineStr">
        <is>
          <t>RH; Lideranças</t>
        </is>
      </c>
      <c r="L7" s="7" t="inlineStr">
        <is>
          <t>Por que as pessoas só aparecem quando já estão doentes ou afastadas?</t>
        </is>
      </c>
      <c r="M7" s="7" t="inlineStr">
        <is>
          <t>Plantar o fio do mês ("cuidar antes") e fazer o RH se reconhecer na dor</t>
        </is>
      </c>
      <c r="N7" s="7" t="inlineStr">
        <is>
          <t>Vídeo</t>
        </is>
      </c>
      <c r="O7" s="7" t="inlineStr">
        <is>
          <t>Reel de tipografia animada: não depende de filmagem nem de rosto, o gancho está na primeira frase e a cadeia do "antes" prende até o fim. Fácil de adaptar para o LinkedIn.</t>
        </is>
      </c>
      <c r="P7" s="7" t="inlineStr">
        <is>
          <t>Instagram + LinkedIn</t>
        </is>
      </c>
      <c r="Q7" s="7" t="inlineStr">
        <is>
          <t>FairJob</t>
        </is>
      </c>
      <c r="R7" s="7" t="inlineStr">
        <is>
          <t>Todo afastamento tem um antes. A Fair Health cuida nesse antes, dentro da empresa, começando por uma pergunta.</t>
        </is>
      </c>
      <c r="S7" s="7" t="inlineStr">
        <is>
          <t>Posicionamento Fair Health v3.2 (eixo "antes"). Ministério da Previdência Social: 472.328 licenças por transtornos mentais em 2024, maior número da série iniciada em 2014 (dados divulgados em 2025; conferir no painel oficial de dados abertos antes de publicar).</t>
        </is>
      </c>
      <c r="T7" s="7" t="inlineStr">
        <is>
          <t>Sem promessa de evitar doença (CFM): o texto fala de cuidado, não de resultado. Número suave: cuidado primeiro, número como contexto, fonte visível e discreta (aba Ciência). Conferir o número no painel oficial.</t>
        </is>
      </c>
      <c r="U7" s="7" t="inlineStr">
        <is>
          <t>Pauta proposta</t>
        </is>
      </c>
      <c r="V7" s="7" t="inlineStr">
        <is>
          <t>Antes do afastamento, teve um atestado.
Antes do atestado, teve uma semana pesada.
Antes da semana pesada, teve uma noite sem dormir.
E antes de tudo isso, ninguém perguntou: o que é importante para você?
Em 2024, o Brasil registrou mais de 470 mil licenças do trabalho por saúde mental, o maior número em dez anos (Ministério da Previdência Social). Cada uma delas teve um antes.
A Fair Health existe para cuidar nesse antes. Dentro da empresa, perto de quem trabalha, com médicos e psicólogos e um plano feito para cada pessoa.
Cuidar antes também é papel da liderança. Na sua empresa, quem faz essa pergunta?
#fairhealth #saudecorporativa #cuidadocentradonapessoa #medicinadoestilodevida #saudedotrabalhador</t>
        </is>
      </c>
      <c r="W7" s="7" t="inlineStr">
        <is>
          <t>Reel de 22 a 26 s, só tipografia sobre o fundo Tiffany, frase a frase, com corte seco.
0–3 s: "Antes do afastamento, teve um atestado."
3–6 s: "Antes do atestado, teve uma semana pesada."
6–9 s: "Antes da semana pesada, uma noite sem dormir."
9–14 s: "E antes de tudo isso, ninguém perguntou:"
14–18 s: "O que é importante para você?" (palavra-chave em destaque)
18–22 s: em texto menor e calmo: "Em 2024, mais de 470 mil licenças por saúde mental no Brasil. Cada uma teve um antes." Fonte no rodapé.
22–26 s: "Cuidar antes." + logo.
Trilha calma, sem locução (ou voz em off opcional).</t>
        </is>
      </c>
      <c r="X7" s="7" t="inlineStr">
        <is>
          <t>Modelo M9 (vídeo) só com tipografia Raleway. Capa: "Antes do afastamento, teve um sinal". Sem imagem de banco.</t>
        </is>
      </c>
      <c r="Y7" s="7" t="n"/>
      <c r="Z7" s="7" t="n"/>
    </row>
    <row r="8">
      <c r="A8" s="7" t="inlineStr">
        <is>
          <t>M1-04</t>
        </is>
      </c>
      <c r="B8" s="7" t="inlineStr">
        <is>
          <t>Mês 1</t>
        </is>
      </c>
      <c r="C8" s="7" t="n">
        <v>1</v>
      </c>
      <c r="D8" s="17">
        <f>$D$2+(C8-1)*7+4</f>
        <v/>
      </c>
      <c r="E8" s="7" t="inlineStr">
        <is>
          <t>Projetos, eventos e entregas</t>
        </is>
      </c>
      <c r="F8" s="7" t="inlineStr">
        <is>
          <t>NR-1</t>
        </is>
      </c>
      <c r="G8" s="7" t="inlineStr">
        <is>
          <t>Dor</t>
        </is>
      </c>
      <c r="H8" s="7" t="inlineStr">
        <is>
          <t>Na imprensa: artigo sobre riscos psicossociais</t>
        </is>
      </c>
      <c r="I8" s="7" t="inlineStr">
        <is>
          <t>Saúde mental é de todos (1/2)</t>
        </is>
      </c>
      <c r="J8" s="7" t="inlineStr">
        <is>
          <t>O trabalho não é o único vilão</t>
        </is>
      </c>
      <c r="K8" s="7" t="inlineStr">
        <is>
          <t>RH; Lideranças; Risco e Compliance</t>
        </is>
      </c>
      <c r="L8" s="7" t="inlineStr">
        <is>
          <t>A NR-1 colocou os riscos psicossociais na conta da empresa. O que é responsabilidade da empresa e o que não é?</t>
        </is>
      </c>
      <c r="M8" s="7" t="inlineStr">
        <is>
          <t>Trazer a NR-1 com uma visão madura e transferir a autoridade da publicação para a marca</t>
        </is>
      </c>
      <c r="N8" s="7" t="inlineStr">
        <is>
          <t>Carrossel</t>
        </is>
      </c>
      <c r="O8" s="7" t="inlineStr">
        <is>
          <t>Carrossel-resumo de artigo publicado: formato muito compartilhado entre profissionais de RH. Leva a autoridade do veículo para a marca, sem citar pessoas.</t>
        </is>
      </c>
      <c r="P8" s="7" t="inlineStr">
        <is>
          <t>Instagram + LinkedIn</t>
        </is>
      </c>
      <c r="Q8" s="7" t="inlineStr">
        <is>
          <t>FairJob; RH Pra Você (marcar o veículo, se fizer sentido)</t>
        </is>
      </c>
      <c r="R8" s="7" t="inlineStr">
        <is>
          <t>A NR-1 formalizou que o trabalho pode adoecer, e a empresa responde pelo ambiente que constrói. Mas saúde mental é multifatorial: é, ao mesmo tempo, de cada um e de todos.</t>
        </is>
      </c>
      <c r="S8" s="7" t="inlineStr">
        <is>
          <t>Artigo "Riscos psicossociais no ambiente de trabalho e saúde", RH Pra Você, 25/09/2026. https://rhpravoce.com.br/colab/riscos-psicossociais-no-ambiente-de-trabalho-2 Dado do slide 4: Global Burden of Disease (citado no artigo).</t>
        </is>
      </c>
      <c r="T8" s="7" t="inlineStr">
        <is>
          <t>Citar só o artigo (título e veículo), sem o nome do autor. Nenhum nome real de pessoa ou empresa no post (decisão de 09/10). Conferir as citações literais com o artigo. Número suave: cuidado primeiro, número como contexto, fonte visível e discreta (aba Ciência).</t>
        </is>
      </c>
      <c r="U8" s="7" t="inlineStr">
        <is>
          <t>Pauta proposta</t>
        </is>
      </c>
      <c r="V8" s="7" t="inlineStr">
        <is>
          <t>O trabalho pode adoecer. Mas não é o único vilão.
Desde maio de 2026, a NR-1 exige que as empresas identifiquem, avaliem e gerenciem os riscos psicossociais. É um avanço necessário: assédio, excesso de pressão, jornadas inadequadas e lideranças despreparadas têm impacto real na saúde mental.
Um artigo publicado na RH Pra Você propõe ampliar o debate: ninguém começa a vida quando é contratado. Família, escola, comunidade e condições de vida chegam ao trabalho junto com a pessoa.
Isso não diminui a responsabilidade da empresa. Ela responde pelo ambiente que constrói. Mas não controla todas as variáveis.
"Saúde mental é, ao mesmo tempo, de cada um e de todos."
O artigo completo está no link dos stories. Concorda? Conta pra gente nos comentários.
#fairhealth #nr1 #riscospsicossociais #saudementalnotrabalho #rh</t>
        </is>
      </c>
      <c r="W8" s="7" t="inlineStr">
        <is>
          <t>8 slides.
1 Capa: "O trabalho pode adoecer. Mas não é o único vilão." + "Da RH Pra Você".
2 Desde maio de 2026, a NR-1 exige identificar, avaliar e gerenciar os riscos psicossociais.
3 É um avanço necessário: ambientes tóxicos, assédio, excesso de pressão, jornadas inadequadas, insegurança e lideranças despreparadas adoecem.
4 "Nenhuma pessoa começa sua vida quando é contratada por uma empresa." Abaixo, em texto menor: no mundo, quase 1 bilhão de pessoas convivem com algum transtorno mental (Global Burden of Disease, 2019).
5 A empresa responde pelo ambiente que constrói. Não controla todas as variáveis.
6 Responsabilidade compartilhada: poder público, sociedade, empresas e cada pessoa (sem culpar quem adoece).
7 "Saúde mental é, ao mesmo tempo, de cada um e de todos." (do artigo, sem nome)
8 A parte da empresa começa antes: um cuidado dentro do trabalho, que começa com uma pergunta. Link nos stories.</t>
        </is>
      </c>
      <c r="X8" s="7" t="inlineStr">
        <is>
          <t>Modelo M8 (citação) nos slides 4 e 7 e M2 nos demais. Sem foto. Stories no mesmo dia com o link do artigo.</t>
        </is>
      </c>
      <c r="Y8" s="7" t="n"/>
      <c r="Z8" s="7" t="n"/>
    </row>
    <row r="9">
      <c r="A9" s="7" t="inlineStr">
        <is>
          <t>M1-05</t>
        </is>
      </c>
      <c r="B9" s="7" t="inlineStr">
        <is>
          <t>Mês 1</t>
        </is>
      </c>
      <c r="C9" s="7" t="n">
        <v>2</v>
      </c>
      <c r="D9" s="17">
        <f>$D$2+(C9-1)*7+0</f>
        <v/>
      </c>
      <c r="E9" s="7" t="inlineStr">
        <is>
          <t>Produto</t>
        </is>
      </c>
      <c r="F9" s="7" t="inlineStr">
        <is>
          <t>Liderança Bem-Estar</t>
        </is>
      </c>
      <c r="G9" s="7" t="inlineStr">
        <is>
          <t>Virada</t>
        </is>
      </c>
      <c r="H9" s="7" t="inlineStr">
        <is>
          <t>Medicina do Estilo de Vida</t>
        </is>
      </c>
      <c r="I9" s="7" t="inlineStr">
        <is>
          <t>Pilares da MEV (abertura)</t>
        </is>
      </c>
      <c r="J9" s="7" t="inlineStr">
        <is>
          <t>Medicina do Estilo de Vida em 1 minuto</t>
        </is>
      </c>
      <c r="K9" s="7" t="inlineStr">
        <is>
          <t>Colaboradores; RH</t>
        </is>
      </c>
      <c r="L9" s="7" t="inlineStr">
        <is>
          <t>O que é Medicina do Estilo de Vida? É dieta? É academia?</t>
        </is>
      </c>
      <c r="M9" s="7" t="inlineStr">
        <is>
          <t>Apresentar a base científica do cuidado e abrir a série dos pilares</t>
        </is>
      </c>
      <c r="N9" s="7" t="inlineStr">
        <is>
          <t>Vídeo</t>
        </is>
      </c>
      <c r="O9" s="7" t="inlineStr">
        <is>
          <t>Explicador animado com ícones (motion): conceito novo explicado em 1 minuto, sem rosto. Responde ao mito "é só dieta e academia".</t>
        </is>
      </c>
      <c r="P9" s="7" t="inlineStr">
        <is>
          <t>Instagram + LinkedIn</t>
        </is>
      </c>
      <c r="Q9" s="7" t="inlineStr">
        <is>
          <t>FairJob</t>
        </is>
      </c>
      <c r="R9" s="7" t="inlineStr">
        <is>
          <t>Seis pilares, uma pessoa inteira: alimentação, atividade física, sono, manejo do estresse, relacionamentos e evitar substâncias de risco. O plano olha para todos, a partir da rotina real.</t>
        </is>
      </c>
      <c r="S9" s="7" t="inlineStr">
        <is>
          <t>ACLM (American College of Lifestyle Medicine), 6 pilares; CBMEV (Colégio Brasileiro de Medicina do Estilo de Vida); cartilha do Escritório do Cuidado.</t>
        </is>
      </c>
      <c r="T9" s="7" t="inlineStr">
        <is>
          <t>6 pilares, sem espiritualidade (decisão de 09/10, ainda a confirmar). Responsável médica valida a definição de MEV e os nomes dos pilares.</t>
        </is>
      </c>
      <c r="U9" s="7" t="inlineStr">
        <is>
          <t>Pauta proposta</t>
        </is>
      </c>
      <c r="V9" s="7" t="n"/>
      <c r="W9" s="7" t="inlineStr">
        <is>
          <t>Reel de 45 a 60 s, motion com ícones, voz em off.
0–3 s: "Medicina do Estilo de Vida é dieta e academia? Não só."
3–10 s: definição curta, com fonte na tela.
10–40 s: os 6 pilares, um ícone e uma frase por pilar: alimentação · atividade física · sono · manejo do estresse · relacionamentos · evitar substâncias de risco.
40–50 s: "Os pilares conversam entre si: o plano olha para a pessoa inteira."
50–60 s: "No Escritório do Cuidado, começa com uma pergunta." + logo.</t>
        </is>
      </c>
      <c r="X9" s="7" t="inlineStr">
        <is>
          <t>Modelo M9 com ícones lineares em verde-escuro sobre Tiffany. Etiqueta "PILARES".</t>
        </is>
      </c>
      <c r="Y9" s="7" t="n"/>
      <c r="Z9" s="7" t="n"/>
    </row>
    <row r="10">
      <c r="A10" s="7" t="inlineStr">
        <is>
          <t>M1-06</t>
        </is>
      </c>
      <c r="B10" s="7" t="inlineStr">
        <is>
          <t>Mês 1</t>
        </is>
      </c>
      <c r="C10" s="7" t="n">
        <v>2</v>
      </c>
      <c r="D10" s="17">
        <f>$D$2+(C10-1)*7+1</f>
        <v/>
      </c>
      <c r="E10" s="7" t="inlineStr">
        <is>
          <t>Institucional</t>
        </is>
      </c>
      <c r="F10" s="7" t="inlineStr">
        <is>
          <t>Liderança Bem-Estar</t>
        </is>
      </c>
      <c r="G10" s="7" t="inlineStr">
        <is>
          <t>Virada</t>
        </is>
      </c>
      <c r="H10" s="7" t="inlineStr">
        <is>
          <t>Tese da marca</t>
        </is>
      </c>
      <c r="I10" s="7" t="n"/>
      <c r="J10" s="7" t="inlineStr">
        <is>
          <t>Não é benefício. É infraestrutura de cuidado.</t>
        </is>
      </c>
      <c r="K10" s="7" t="inlineStr">
        <is>
          <t>RH; RI e C-Level</t>
        </is>
      </c>
      <c r="L10" s="7" t="inlineStr">
        <is>
          <t>Isso é mais um benefício para a lista? Por que seria diferente do que já temos?</t>
        </is>
      </c>
      <c r="M10" s="7" t="inlineStr">
        <is>
          <t>Fixar a frase-tese e posicionar a categoria sem citar concorrentes</t>
        </is>
      </c>
      <c r="N10" s="7" t="inlineStr">
        <is>
          <t>Carrossel</t>
        </is>
      </c>
      <c r="O10" s="7" t="inlineStr">
        <is>
          <t>Carrossel comparativo de duas colunas (isto × aquilo): a diferença fica clara em segundos e o post é salvo e repassado ao decisor.</t>
        </is>
      </c>
      <c r="P10" s="7" t="inlineStr">
        <is>
          <t>Instagram + LinkedIn</t>
        </is>
      </c>
      <c r="Q10" s="7" t="inlineStr">
        <is>
          <t>FairJob</t>
        </is>
      </c>
      <c r="R10" s="7" t="inlineStr">
        <is>
          <t>Benefício é algo que a pessoa usa se lembrar. Infraestrutura de cuidado está dentro da empresa todo dia, começa antes do problema e tem gente acompanhando.</t>
        </is>
      </c>
      <c r="S10" s="7" t="inlineStr">
        <is>
          <t>Posicionamento Fair Health v3.2 (diferenciais).</t>
        </is>
      </c>
      <c r="T10" s="7" t="inlineStr">
        <is>
          <t>Não citar marcas de terceiros nem operadoras. Sem números.</t>
        </is>
      </c>
      <c r="U10" s="7" t="inlineStr">
        <is>
          <t>Pauta proposta</t>
        </is>
      </c>
      <c r="V10" s="7" t="n"/>
      <c r="W10" s="7" t="inlineStr">
        <is>
          <t>6 slides.
1 Capa: "Não é benefício. É infraestrutura de cuidado."
2 Benefício: a pessoa usa se lembrar. Infraestrutura: está lá todo dia, dentro da empresa.
3 Benefício: espera o problema aparecer. Infraestrutura: começa antes.
4 Benefício: é um cartão. Infraestrutura: é gente acompanhando, com um plano para cada pessoa.
5 Benefício: termina na adesão. Infraestrutura: o RH acompanha o cuidado por indicadores do grupo.
6 "O que é importante para você?" Comente CUIDADO para saber como funciona.</t>
        </is>
      </c>
      <c r="X10" s="7" t="inlineStr">
        <is>
          <t>Modelo M1 na capa e comparativo em duas colunas (Tiffany × verde-escuro) nos slides 2 a 5.</t>
        </is>
      </c>
      <c r="Y10" s="7" t="n"/>
      <c r="Z10" s="7" t="n"/>
    </row>
    <row r="11">
      <c r="A11" s="7" t="inlineStr">
        <is>
          <t>M1-07</t>
        </is>
      </c>
      <c r="B11" s="7" t="inlineStr">
        <is>
          <t>Mês 1</t>
        </is>
      </c>
      <c r="C11" s="7" t="n">
        <v>2</v>
      </c>
      <c r="D11" s="17">
        <f>$D$2+(C11-1)*7+3</f>
        <v/>
      </c>
      <c r="E11" s="7" t="inlineStr">
        <is>
          <t>Projetos, eventos e entregas</t>
        </is>
      </c>
      <c r="F11" s="7" t="inlineStr">
        <is>
          <t>NR-1</t>
        </is>
      </c>
      <c r="G11" s="7" t="inlineStr">
        <is>
          <t>Virada</t>
        </is>
      </c>
      <c r="H11" s="7" t="inlineStr">
        <is>
          <t>Entregas para o RH</t>
        </is>
      </c>
      <c r="I11" s="7" t="inlineStr">
        <is>
          <t>Tecnologia a favor da pessoa</t>
        </is>
      </c>
      <c r="J11" s="7" t="inlineStr">
        <is>
          <t>O que o RH vê (e o que não vê)</t>
        </is>
      </c>
      <c r="K11" s="7" t="inlineStr">
        <is>
          <t>RH; Risco e Compliance</t>
        </is>
      </c>
      <c r="L11" s="7" t="inlineStr">
        <is>
          <t>O que eu recebo para acompanhar o programa? Vou ver dados individuais?</t>
        </is>
      </c>
      <c r="M11" s="7" t="inlineStr">
        <is>
          <t>Mostrar a entrega para a empresa e a regra de privacidade</t>
        </is>
      </c>
      <c r="N11" s="7" t="inlineStr">
        <is>
          <t>Vídeo</t>
        </is>
      </c>
      <c r="O11" s="7" t="inlineStr">
        <is>
          <t>Gravação de tela de um painel genérico, com texto na tela: mostra o produto de verdade sem expor ninguém e responde a dúvida que trava a decisão do RH.</t>
        </is>
      </c>
      <c r="P11" s="7" t="inlineStr">
        <is>
          <t>Instagram + LinkedIn</t>
        </is>
      </c>
      <c r="Q11" s="7" t="inlineStr">
        <is>
          <t>FairJob; fairdata</t>
        </is>
      </c>
      <c r="R11" s="7" t="inlineStr">
        <is>
          <t>O RH acompanha o cuidado por indicadores do grupo, anonimizados e integrados à fairdata. O que cada pessoa conta fica no atendimento.</t>
        </is>
      </c>
      <c r="S11" s="7" t="inlineStr">
        <is>
          <t>Posicionamento Fair Health v3.2 (fairdata).</t>
        </is>
      </c>
      <c r="T11" s="7" t="inlineStr">
        <is>
          <t>Time confirma quais indicadores entram no relatório. Painel com dados fictícios e aviso "dados ilustrativos". Não prometer conformidade com a NR-1.</t>
        </is>
      </c>
      <c r="U11" s="7" t="inlineStr">
        <is>
          <t>Pauta proposta</t>
        </is>
      </c>
      <c r="V11" s="7" t="n"/>
      <c r="W11" s="7" t="inlineStr">
        <is>
          <t>Reel de 25 a 30 s, gravação de tela.
0–3 s: "O que o RH vê no Escritório do Cuidado?"
3–15 s: rolagem pelo painel (adesão, retorno, temas mais procurados), dados ilustrativos.
15–22 s: "O que o RH não vê: o que cada pessoa contou."
22–30 s: "Indicadores do grupo para cuidar antes." + logo.</t>
        </is>
      </c>
      <c r="X11" s="7" t="inlineStr">
        <is>
          <t>Modelo M9. Painel montado com dados fictícios, moldura de navegador ou de notebook.</t>
        </is>
      </c>
      <c r="Y11" s="7" t="n"/>
      <c r="Z11" s="7" t="n"/>
    </row>
    <row r="12">
      <c r="A12" s="7" t="inlineStr">
        <is>
          <t>M1-08</t>
        </is>
      </c>
      <c r="B12" s="7" t="inlineStr">
        <is>
          <t>Mês 1</t>
        </is>
      </c>
      <c r="C12" s="7" t="n">
        <v>2</v>
      </c>
      <c r="D12" s="17">
        <f>$D$2+(C12-1)*7+4</f>
        <v/>
      </c>
      <c r="E12" s="7" t="inlineStr">
        <is>
          <t>Produto</t>
        </is>
      </c>
      <c r="F12" s="7" t="inlineStr">
        <is>
          <t>Apresentação</t>
        </is>
      </c>
      <c r="G12" s="7" t="inlineStr">
        <is>
          <t>Virada</t>
        </is>
      </c>
      <c r="H12" s="7" t="inlineStr">
        <is>
          <t>Plano Individualizado de Cuidado</t>
        </is>
      </c>
      <c r="I12" s="7" t="inlineStr">
        <is>
          <t>Como funciona o cuidado (2/3): o plano</t>
        </is>
      </c>
      <c r="J12" s="7" t="inlineStr">
        <is>
          <t>O plano é seu: como nasce o Plano Individualizado de Cuidado</t>
        </is>
      </c>
      <c r="K12" s="7" t="inlineStr">
        <is>
          <t>Colaboradores</t>
        </is>
      </c>
      <c r="L12" s="7" t="inlineStr">
        <is>
          <t>Vou receber uma lista de regras impossíveis de seguir?</t>
        </is>
      </c>
      <c r="M12" s="7" t="inlineStr">
        <is>
          <t>Explicar como o plano é montado com a pessoa (decisão compartilhada)</t>
        </is>
      </c>
      <c r="N12" s="7" t="inlineStr">
        <is>
          <t>Carrossel</t>
        </is>
      </c>
      <c r="O12" s="7" t="inlineStr">
        <is>
          <t>Carrossel com card de interface (M3), já testado no carrossel de acolhimento, contado pela história de uma personagem fictícia: história prende mais que explicação e mostra o plano como algo possível.</t>
        </is>
      </c>
      <c r="P12" s="7" t="inlineStr">
        <is>
          <t>Instagram + LinkedIn</t>
        </is>
      </c>
      <c r="Q12" s="7" t="inlineStr">
        <is>
          <t>FairJob</t>
        </is>
      </c>
      <c r="R12" s="7" t="inlineStr">
        <is>
          <t>O plano parte do que é importante para você e da sua rotina real, com ações nos pilares da MEV, e muda quando a vida muda.</t>
        </is>
      </c>
      <c r="S12" s="7" t="inlineStr">
        <is>
          <t>Cartilha do Escritório do Cuidado. Personagem fictícia.</t>
        </is>
      </c>
      <c r="T12" s="7" t="inlineStr">
        <is>
          <t>Responsável médica valida etapas e prazos. Nome único do plano: "Plano Individualizado de Cuidado" ou "Plano de Cuidado Personalizado"? Indicar no slide e na legenda que é uma história ilustrativa (personagem fictícia), para não parecer depoimento.</t>
        </is>
      </c>
      <c r="U12" s="7" t="inlineStr">
        <is>
          <t>Pauta proposta</t>
        </is>
      </c>
      <c r="V12" s="7" t="n"/>
      <c r="W12" s="7" t="inlineStr">
        <is>
          <t>7 slides, com a Clara (personagem fictícia, 41 anos, supervisora de turno).
1 Capa: "O plano é seu."
2 A Clara chegou dizendo: "Quero voltar a ter energia para brincar com meu filho." Isso é o que importa para ela.
3 Card do plano da Clara: 3 ações pequenas (dormir 30 min mais cedo, caminhada de 10 min no almoço, conversa quinzenal com a psicóloga).
4 Cabe na rotina real: no turno dela, não numa rotina ideal.
5 Muda quando a vida muda.
6 Alguém acompanha, sem julgamento.
7 "E para você, o que é importante?" Rodapé: "História ilustrativa. Personagem fictícia."</t>
        </is>
      </c>
      <c r="X12" s="7" t="inlineStr">
        <is>
          <t>Modelo M3 (card de interface do plano). Sem foto de pessoa: a personagem aparece só no texto e no card.</t>
        </is>
      </c>
      <c r="Y12" s="7" t="n"/>
      <c r="Z12" s="7" t="n"/>
    </row>
    <row r="13">
      <c r="A13" s="7" t="inlineStr">
        <is>
          <t>M1-09</t>
        </is>
      </c>
      <c r="B13" s="7" t="inlineStr">
        <is>
          <t>Mês 1</t>
        </is>
      </c>
      <c r="C13" s="7" t="n">
        <v>3</v>
      </c>
      <c r="D13" s="17">
        <f>$D$2+(C13-1)*7+1</f>
        <v/>
      </c>
      <c r="E13" s="7" t="inlineStr">
        <is>
          <t>Projetos, eventos e entregas</t>
        </is>
      </c>
      <c r="F13" s="7" t="inlineStr">
        <is>
          <t>Liderança Bem-Estar</t>
        </is>
      </c>
      <c r="G13" s="7" t="inlineStr">
        <is>
          <t>Prova</t>
        </is>
      </c>
      <c r="H13" s="7" t="inlineStr">
        <is>
          <t>Adesão (número liberado)</t>
        </is>
      </c>
      <c r="I13" s="7" t="n"/>
      <c r="J13" s="7" t="inlineStr">
        <is>
          <t>Quando o cuidado está perto, as pessoas voltam</t>
        </is>
      </c>
      <c r="K13" s="7" t="inlineStr">
        <is>
          <t>RH; Diretoria financeira</t>
        </is>
      </c>
      <c r="L13" s="7" t="inlineStr">
        <is>
          <t>Programa de saúde que ninguém usa é custo. As pessoas usam isso de verdade?</t>
        </is>
      </c>
      <c r="M13" s="7" t="inlineStr">
        <is>
          <t>Provar adesão com número liberado, contado como cuidado e não como resultado</t>
        </is>
      </c>
      <c r="N13" s="7" t="inlineStr">
        <is>
          <t>Vídeo</t>
        </is>
      </c>
      <c r="O13" s="7" t="inlineStr">
        <is>
          <t>Número contado como história: primeiro a cena de cuidado, depois o número, em tom calmo. É a prova que o RH leva para a diretoria, sem cara de anúncio.</t>
        </is>
      </c>
      <c r="P13" s="7" t="inlineStr">
        <is>
          <t>Instagram + LinkedIn</t>
        </is>
      </c>
      <c r="Q13" s="7" t="inlineStr">
        <is>
          <t>FairJob</t>
        </is>
      </c>
      <c r="R13" s="7" t="inlineStr">
        <is>
          <t>Quando o cuidado está perto e começa por uma conversa, as pessoas voltam: numa indústria atendida, 8 em cada 10 pessoas voltaram para mais de um atendimento.</t>
        </is>
      </c>
      <c r="S13" s="7" t="inlineStr">
        <is>
          <t>Dados internos de um cliente do setor industrial, 1º semestre de 2026 (liberados; ver aba Fontes). Sempre agregado e sem o nome da empresa.</t>
        </is>
      </c>
      <c r="T13" s="7" t="inlineStr">
        <is>
          <t>Nenhum nome real de pessoa ou empresa no post (decisão de 09/10). Usar "uma indústria". Número suave: cuidado primeiro, número como contexto, fonte visível e discreta (aba Ciência).</t>
        </is>
      </c>
      <c r="U13" s="7" t="inlineStr">
        <is>
          <t>Pauta proposta</t>
        </is>
      </c>
      <c r="V13" s="7" t="n"/>
      <c r="W13" s="7" t="inlineStr">
        <is>
          <t>Reel de 18 a 22 s, tipografia e números suaves.
0–4 s: "Ninguém volta a um lugar onde não se sentiu cuidado."
4–9 s: "Numa indústria que atendemos, no primeiro semestre de 2026..."
9–14 s: "8 em cada 10 pessoas voltaram para mais de um atendimento." (número em destaque, sem exagero)
14–18 s: em texto menor: "A adesão chegou a 98%."
18–22 s: "Cuidado que as pessoas procuram." + fonte discreta + logo.</t>
        </is>
      </c>
      <c r="X13" s="7" t="inlineStr">
        <is>
          <t>Modelo M6 (dado com fonte) animado, em ritmo lento. Número em verde-escuro, nunca em vermelho; sem setas para cima nem efeito de "conquista".</t>
        </is>
      </c>
      <c r="Y13" s="7" t="n"/>
      <c r="Z13" s="7" t="n"/>
    </row>
    <row r="14">
      <c r="A14" s="7" t="inlineStr">
        <is>
          <t>M1-10</t>
        </is>
      </c>
      <c r="B14" s="7" t="inlineStr">
        <is>
          <t>Mês 1</t>
        </is>
      </c>
      <c r="C14" s="7" t="n">
        <v>3</v>
      </c>
      <c r="D14" s="17">
        <f>$D$2+(C14-1)*7+2</f>
        <v/>
      </c>
      <c r="E14" s="7" t="inlineStr">
        <is>
          <t>Produto</t>
        </is>
      </c>
      <c r="F14" s="7" t="inlineStr">
        <is>
          <t>Apresentação</t>
        </is>
      </c>
      <c r="G14" s="7" t="inlineStr">
        <is>
          <t>Prova</t>
        </is>
      </c>
      <c r="H14" s="7" t="inlineStr">
        <is>
          <t>Tecnologia: wearables</t>
        </is>
      </c>
      <c r="I14" s="7" t="inlineStr">
        <is>
          <t>Como funciona o cuidado (3/3): o acompanhamento</t>
        </is>
      </c>
      <c r="J14" s="7" t="inlineStr">
        <is>
          <t>O cuidado não para quando a consulta acaba</t>
        </is>
      </c>
      <c r="K14" s="7" t="inlineStr">
        <is>
          <t>Colaboradores; RH</t>
        </is>
      </c>
      <c r="L14" s="7" t="inlineStr">
        <is>
          <t>Para que serve a pulseira? Vão me vigiar?</t>
        </is>
      </c>
      <c r="M14" s="7" t="inlineStr">
        <is>
          <t>Explicar o acompanhamento com tecnologia e a regra de privacidade</t>
        </is>
      </c>
      <c r="N14" s="7" t="inlineStr">
        <is>
          <t>Carrossel</t>
        </is>
      </c>
      <c r="O14" s="7" t="inlineStr">
        <is>
          <t>Carrossel explicativo com a objeção no título ("vão me vigiar?"): responde a dúvida mais comum antes que ela vire resistência.</t>
        </is>
      </c>
      <c r="P14" s="7" t="inlineStr">
        <is>
          <t>Instagram + LinkedIn</t>
        </is>
      </c>
      <c r="Q14" s="7" t="inlineStr">
        <is>
          <t>FairJob</t>
        </is>
      </c>
      <c r="R14" s="7" t="inlineStr">
        <is>
          <t>A smartband e a bioimpedância ajudam a olhar, junto com a pessoa, como foram as últimas semanas. Os dados ficam no atendimento; o RH vê só o grupo.</t>
        </is>
      </c>
      <c r="S14" s="7" t="inlineStr">
        <is>
          <t>Cartilha do Escritório do Cuidado.</t>
        </is>
      </c>
      <c r="T14" s="7" t="inlineStr">
        <is>
          <t>[PENDENTE] Quais dados a smartband registra e se todos os atendidos usam a pulseira (instagram/posts/wearables/README.md).</t>
        </is>
      </c>
      <c r="U14" s="7" t="inlineStr">
        <is>
          <t>Em revisão</t>
        </is>
      </c>
      <c r="V14" s="7" t="n"/>
      <c r="W14" s="7" t="n"/>
      <c r="X14" s="7" t="inlineStr">
        <is>
          <t>Arte pronta em instagram/posts/wearables (8 slides). Capa: foto de pulso sem rosto (modelo com autorização, fora das empresas-clientes) ou capa só tipográfica.</t>
        </is>
      </c>
      <c r="Y14" s="7" t="n"/>
      <c r="Z14" s="7" t="n"/>
    </row>
    <row r="15">
      <c r="A15" s="7" t="inlineStr">
        <is>
          <t>M1-11</t>
        </is>
      </c>
      <c r="B15" s="7" t="inlineStr">
        <is>
          <t>Mês 1</t>
        </is>
      </c>
      <c r="C15" s="7" t="n">
        <v>3</v>
      </c>
      <c r="D15" s="17">
        <f>$D$2+(C15-1)*7+3</f>
        <v/>
      </c>
      <c r="E15" s="7" t="inlineStr">
        <is>
          <t>Institucional</t>
        </is>
      </c>
      <c r="F15" s="7" t="inlineStr">
        <is>
          <t>Apresentação</t>
        </is>
      </c>
      <c r="G15" s="7" t="inlineStr">
        <is>
          <t>Prova</t>
        </is>
      </c>
      <c r="H15" s="7" t="inlineStr">
        <is>
          <t>Origem</t>
        </is>
      </c>
      <c r="I15" s="7" t="n"/>
      <c r="J15" s="7" t="inlineStr">
        <is>
          <t>Tudo começou num hospital</t>
        </is>
      </c>
      <c r="K15" s="7" t="inlineStr">
        <is>
          <t>RH; Medicina do Trabalho</t>
        </is>
      </c>
      <c r="L15" s="7" t="inlineStr">
        <is>
          <t>De onde vem esse modelo? É só mais um programa de bem-estar?</t>
        </is>
      </c>
      <c r="M15" s="7" t="inlineStr">
        <is>
          <t>Dar lastro à marca com a história do modelo</t>
        </is>
      </c>
      <c r="N15" s="7" t="inlineStr">
        <is>
          <t>Vídeo</t>
        </is>
      </c>
      <c r="O15" s="7" t="inlineStr">
        <is>
          <t>Linha do tempo animada (ano grande + uma frase): história de origem gera confiança e não precisa mostrar pessoas.</t>
        </is>
      </c>
      <c r="P15" s="7" t="inlineStr">
        <is>
          <t>Instagram + LinkedIn</t>
        </is>
      </c>
      <c r="Q15" s="7" t="inlineStr">
        <is>
          <t>FairJob</t>
        </is>
      </c>
      <c r="R15" s="7" t="inlineStr">
        <is>
          <t>O modelo nasceu em 2009, num hospital, para colocar o paciente no centro do cuidado. Hoje, coloca quem trabalha no centro, dentro da empresa.</t>
        </is>
      </c>
      <c r="S15" s="7" t="inlineStr">
        <is>
          <t>Histórico do Escritório do Paciente (2009); caso do hospital onde o modelo começou (liberado; ver aba Fontes).</t>
        </is>
      </c>
      <c r="T15" s="7" t="inlineStr">
        <is>
          <t>Sem nomes de pessoas nem do hospital. Não usar "validado no SUS" até confirmar a fonte. Conferir datas.</t>
        </is>
      </c>
      <c r="U15" s="7" t="inlineStr">
        <is>
          <t>Pauta proposta</t>
        </is>
      </c>
      <c r="V15" s="7" t="n"/>
      <c r="W15" s="7" t="inlineStr">
        <is>
          <t>Reel de 25 a 30 s, linha do tempo em tipografia.
0–3 s: "Tudo começou num hospital."
3–10 s: 2009: Escritório do Paciente, o paciente no centro.
10–18 s: o que o hospital aprendeu: ouvir antes de propor.
18–25 s: hoje: o Escritório do Cuidado, dentro da empresa.
25–30 s: "Mesma pergunta: o que é importante para você?" + logo.
Alternativa: carrossel no modelo M2.</t>
        </is>
      </c>
      <c r="X15" s="7" t="inlineStr">
        <is>
          <t>Modelo M9 com marcos da linha do tempo (modelo M2 animado). Sem fotos de pessoas.</t>
        </is>
      </c>
      <c r="Y15" s="7" t="n"/>
      <c r="Z15" s="7" t="n"/>
    </row>
    <row r="16">
      <c r="A16" s="7" t="inlineStr">
        <is>
          <t>M1-12</t>
        </is>
      </c>
      <c r="B16" s="7" t="inlineStr">
        <is>
          <t>Mês 1</t>
        </is>
      </c>
      <c r="C16" s="7" t="n">
        <v>3</v>
      </c>
      <c r="D16" s="17">
        <f>$D$2+(C16-1)*7+4</f>
        <v/>
      </c>
      <c r="E16" s="7" t="inlineStr">
        <is>
          <t>Projetos, eventos e entregas</t>
        </is>
      </c>
      <c r="F16" s="7" t="inlineStr">
        <is>
          <t>NR-1</t>
        </is>
      </c>
      <c r="G16" s="7" t="inlineStr">
        <is>
          <t>Prova</t>
        </is>
      </c>
      <c r="H16" s="7" t="inlineStr">
        <is>
          <t>Na imprensa: artigo sobre riscos psicossociais</t>
        </is>
      </c>
      <c r="I16" s="7" t="inlineStr">
        <is>
          <t>Saúde mental é de todos (2/2)</t>
        </is>
      </c>
      <c r="J16" s="7" t="inlineStr">
        <is>
          <t>A pergunta maior</t>
        </is>
      </c>
      <c r="K16" s="7" t="inlineStr">
        <is>
          <t>RH; Lideranças</t>
        </is>
      </c>
      <c r="L16" s="7" t="inlineStr">
        <is>
          <t>Como olhar para a saúde mental do time sem simplificar?</t>
        </is>
      </c>
      <c r="M16" s="7" t="inlineStr">
        <is>
          <t>Reaproveitar o artigo com uma frase forte e reforçar a autoridade</t>
        </is>
      </c>
      <c r="N16" s="7" t="inlineStr">
        <is>
          <t>Foto única</t>
        </is>
      </c>
      <c r="O16" s="7" t="inlineStr">
        <is>
          <t>Card de citação: uma frase forte, fácil de compartilhar nos stories e no LinkedIn. Reaproveita o artigo sem repetir o carrossel.</t>
        </is>
      </c>
      <c r="P16" s="7" t="inlineStr">
        <is>
          <t>Instagram + LinkedIn</t>
        </is>
      </c>
      <c r="Q16" s="7" t="inlineStr">
        <is>
          <t>FairJob</t>
        </is>
      </c>
      <c r="R16" s="7" t="inlineStr">
        <is>
          <t>"Antes de perguntar apenas o que o trabalho está fazendo com a saúde mental das pessoas, deveríamos fazer uma pergunta maior: o que a nossa forma de viver em sociedade está fazendo com a saúde mental das pessoas?"</t>
        </is>
      </c>
      <c r="S16" s="7" t="inlineStr">
        <is>
          <t>Artigo "Riscos psicossociais no ambiente de trabalho e saúde", RH Pra Você, 25/09/2026. https://rhpravoce.com.br/colab/riscos-psicossociais-no-ambiente-de-trabalho-2</t>
        </is>
      </c>
      <c r="T16" s="7" t="inlineStr">
        <is>
          <t>Citação literal conferida com o artigo. Crédito só ao artigo e ao veículo, sem nome do autor. Nenhum nome real de pessoa ou empresa no post (decisão de 09/10).</t>
        </is>
      </c>
      <c r="U16" s="7" t="inlineStr">
        <is>
          <t>Pauta proposta</t>
        </is>
      </c>
      <c r="V16" s="7" t="n"/>
      <c r="W16" s="7" t="inlineStr">
        <is>
          <t>Imagem única: a pergunta em destaque, assinatura "Do artigo 'Riscos psicossociais no ambiente de trabalho e saúde', RH Pra Você". Legenda curta que liga a pergunta à da marca ("o que é importante para você?") e convida a ler o artigo.</t>
        </is>
      </c>
      <c r="X16" s="7" t="inlineStr">
        <is>
          <t>Modelo M8 (citação), sem foto.</t>
        </is>
      </c>
      <c r="Y16" s="7" t="n"/>
      <c r="Z16" s="7" t="n"/>
    </row>
    <row r="17">
      <c r="A17" s="7" t="inlineStr">
        <is>
          <t>M1-13</t>
        </is>
      </c>
      <c r="B17" s="7" t="inlineStr">
        <is>
          <t>Mês 1</t>
        </is>
      </c>
      <c r="C17" s="7" t="n">
        <v>4</v>
      </c>
      <c r="D17" s="17">
        <f>$D$2+(C17-1)*7+0</f>
        <v/>
      </c>
      <c r="E17" s="7" t="inlineStr">
        <is>
          <t>Produto</t>
        </is>
      </c>
      <c r="F17" s="7" t="inlineStr">
        <is>
          <t>Liderança Bem-Estar</t>
        </is>
      </c>
      <c r="G17" s="7" t="inlineStr">
        <is>
          <t>Convite</t>
        </is>
      </c>
      <c r="H17" s="7" t="inlineStr">
        <is>
          <t>Pilar: sono</t>
        </is>
      </c>
      <c r="I17" s="7" t="inlineStr">
        <is>
          <t>Pilares da MEV (1: sono)</t>
        </is>
      </c>
      <c r="J17" s="7" t="inlineStr">
        <is>
          <t>Dormir não é tempo perdido</t>
        </is>
      </c>
      <c r="K17" s="7" t="inlineStr">
        <is>
          <t>Colaboradores</t>
        </is>
      </c>
      <c r="L17" s="7" t="inlineStr">
        <is>
          <t>Por que eu acordo cansado? O que dá para mudar na rotina?</t>
        </is>
      </c>
      <c r="M17" s="7" t="inlineStr">
        <is>
          <t>Educar sobre o pilar sono e convidar o colaborador a procurar o Escritório</t>
        </is>
      </c>
      <c r="N17" s="7" t="inlineStr">
        <is>
          <t>Vídeo</t>
        </is>
      </c>
      <c r="O17" s="7" t="inlineStr">
        <is>
          <t>Reel de "3 hábitos" com texto na tela sobre imagens de banco: dica prática e salvável, sem rosto e sem gravar nas empresas.</t>
        </is>
      </c>
      <c r="P17" s="7" t="inlineStr">
        <is>
          <t>Instagram</t>
        </is>
      </c>
      <c r="Q17" s="7" t="inlineStr">
        <is>
          <t>FairJob</t>
        </is>
      </c>
      <c r="R17" s="7" t="inlineStr">
        <is>
          <t>Dormir não é tempo perdido. A faixa saudável para adultos fica entre 7 e 9 horas por noite. No Escritório do Cuidado, o sono entra no plano a partir da sua rotina real.</t>
        </is>
      </c>
      <c r="S17" s="7" t="inlineStr">
        <is>
          <t>Guia "Saúde mental: o cuidado no dia a dia" (higiene do sono; OMS, APA, IPq-USP). Hafner M. et al. Why sleep matters: the economic costs of insufficient sleep. RAND Europe, 2016 (RR-1791). https://www.rand.org/news/press/2016/11/30.html</t>
        </is>
      </c>
      <c r="T17" s="7" t="inlineStr">
        <is>
          <t>Responsável médica valida as orientações. Sem promessa clínica. Número suave: cuidado primeiro, número como contexto, fonte visível e discreta (aba Ciência).</t>
        </is>
      </c>
      <c r="U17" s="7" t="inlineStr">
        <is>
          <t>Pauta proposta</t>
        </is>
      </c>
      <c r="V17" s="7" t="n"/>
      <c r="W17" s="7" t="inlineStr">
        <is>
          <t>Reel de 22 a 27 s.
0–3 s: "Acorda cansado mesmo dormindo?"
3–6 s: em texto calmo: "Para adultos, o sono saudável fica entre 7 e 9 horas." (fonte discreta: RAND Europe, 2016)
6–19 s: 3 hábitos, um por cena (tela antes de dormir, horário regular, cafeína à tarde).
19–27 s: "Se o cansaço não passa, conversa com a gente no Escritório do Cuidado." + logo.
Legenda (opcional, para o RH no LinkedIn): um estudo da RAND Europe estimou que a falta de sono custa mais de 1 milhão de dias de trabalho por ano só nos Estados Unidos.</t>
        </is>
      </c>
      <c r="X17" s="7" t="inlineStr">
        <is>
          <t>Modelo M9 com etiqueta "PILARES · SONO". Imagens de banco (quarto, celular à noite), sem rosto identificável.</t>
        </is>
      </c>
      <c r="Y17" s="7" t="n"/>
      <c r="Z17" s="7" t="n"/>
    </row>
    <row r="18">
      <c r="A18" s="7" t="inlineStr">
        <is>
          <t>M1-14</t>
        </is>
      </c>
      <c r="B18" s="7" t="inlineStr">
        <is>
          <t>Mês 1</t>
        </is>
      </c>
      <c r="C18" s="7" t="n">
        <v>4</v>
      </c>
      <c r="D18" s="17">
        <f>$D$2+(C18-1)*7+1</f>
        <v/>
      </c>
      <c r="E18" s="7" t="inlineStr">
        <is>
          <t>Institucional</t>
        </is>
      </c>
      <c r="F18" s="7" t="inlineStr">
        <is>
          <t>Liderança Bem-Estar</t>
        </is>
      </c>
      <c r="G18" s="7" t="inlineStr">
        <is>
          <t>Convite</t>
        </is>
      </c>
      <c r="H18" s="7" t="inlineStr">
        <is>
          <t>A pergunta (com a recomendação da OMS)</t>
        </is>
      </c>
      <c r="I18" s="7" t="inlineStr">
        <is>
          <t>Ciência no cuidado</t>
        </is>
      </c>
      <c r="J18" s="7" t="inlineStr">
        <is>
          <t>Uma pergunta que todo líder pode fazer</t>
        </is>
      </c>
      <c r="K18" s="7" t="inlineStr">
        <is>
          <t>Lideranças; RH</t>
        </is>
      </c>
      <c r="L18" s="7" t="inlineStr">
        <is>
          <t>Como a liderança pode cuidar do time no dia a dia, sem ser médica nem psicóloga?</t>
        </is>
      </c>
      <c r="M18" s="7" t="inlineStr">
        <is>
          <t>Levar a pergunta da marca para a liderança, com o respaldo da recomendação da OMS, e gerar conversa</t>
        </is>
      </c>
      <c r="N18" s="7" t="inlineStr">
        <is>
          <t>Carrossel</t>
        </is>
      </c>
      <c r="O18" s="7" t="inlineStr">
        <is>
          <t>Carrossel de ciência aplicada: a recomendação de uma fonte respeitada (OMS) vira um gesto simples que o líder pode repetir. Fecha com pergunta aberta, que gera comentários.</t>
        </is>
      </c>
      <c r="P18" s="7" t="inlineStr">
        <is>
          <t>Instagram + LinkedIn</t>
        </is>
      </c>
      <c r="Q18" s="7" t="inlineStr">
        <is>
          <t>FairJob</t>
        </is>
      </c>
      <c r="R18" s="7" t="inlineStr">
        <is>
          <t>A OMS recomenda preparar as lideranças para prevenir ambientes de estresse e acolher quem está em sofrimento. Um bom começo cabe numa pergunta: o que é importante para você?</t>
        </is>
      </c>
      <c r="S18" s="7" t="inlineStr">
        <is>
          <t>OMS. Guidelines on mental health at work, 28/09/2022 (com a OIT: policy brief "Mental health at work"). https://www.who.int/news/item/28-09-2022-who-and-ilo-call-for-new-measures-to-tackle-mental-health-issues-at-work</t>
        </is>
      </c>
      <c r="T18" s="7" t="inlineStr">
        <is>
          <t>Conferir a redação da recomendação nas diretrizes da OMS. O líder não substitui o cuidado clínico: deixar claro onde pedir ajuda.</t>
        </is>
      </c>
      <c r="U18" s="7" t="inlineStr">
        <is>
          <t>Pauta proposta</t>
        </is>
      </c>
      <c r="V18" s="7" t="n"/>
      <c r="W18" s="7" t="inlineStr">
        <is>
          <t>6 slides.
1 Capa: "Uma pergunta que todo líder pode fazer."
2 Em 2022, a OMS publicou suas primeiras diretrizes sobre saúde mental no trabalho. Uma das recomendações: preparar as lideranças.
3 Para quê? Para prevenir ambientes de estresse e acolher quem está em sofrimento.
4 Não é virar terapeuta. É perguntar, ouvir e saber para onde encaminhar.
5 Um bom começo: "O que é importante para você?"
6 Líder, quando foi a última vez que você fez essa pergunta? Conta nos comentários. Fonte: OMS, 2022.
Stories no mesmo dia com caixa de perguntas.</t>
        </is>
      </c>
      <c r="X18" s="7" t="inlineStr">
        <is>
          <t>Modelo M1 na capa e M2 nos demais; fonte no rodapé (M6).</t>
        </is>
      </c>
      <c r="Y18" s="7" t="n"/>
      <c r="Z18" s="7" t="n"/>
    </row>
    <row r="19">
      <c r="A19" s="7" t="inlineStr">
        <is>
          <t>M1-15</t>
        </is>
      </c>
      <c r="B19" s="7" t="inlineStr">
        <is>
          <t>Mês 1</t>
        </is>
      </c>
      <c r="C19" s="7" t="n">
        <v>4</v>
      </c>
      <c r="D19" s="17">
        <f>$D$2+(C19-1)*7+3</f>
        <v/>
      </c>
      <c r="E19" s="7" t="inlineStr">
        <is>
          <t>Projetos, eventos e entregas</t>
        </is>
      </c>
      <c r="F19" s="7" t="inlineStr">
        <is>
          <t>Apresentação</t>
        </is>
      </c>
      <c r="G19" s="7" t="inlineStr">
        <is>
          <t>Convite</t>
        </is>
      </c>
      <c r="H19" s="7" t="inlineStr">
        <is>
          <t>Como começa numa empresa</t>
        </is>
      </c>
      <c r="I19" s="7" t="inlineStr">
        <is>
          <t>Como chega a uma empresa</t>
        </is>
      </c>
      <c r="J19" s="7" t="inlineStr">
        <is>
          <t>Como o Escritório do Cuidado chega à sua empresa</t>
        </is>
      </c>
      <c r="K19" s="7" t="inlineStr">
        <is>
          <t>RH; Diretoria financeira</t>
        </is>
      </c>
      <c r="L19" s="7" t="inlineStr">
        <is>
          <t>Quero isso na minha empresa. Por onde começa?</t>
        </is>
      </c>
      <c r="M19" s="7" t="inlineStr">
        <is>
          <t>Deixar clara a oferta e o primeiro passo comercial</t>
        </is>
      </c>
      <c r="N19" s="7" t="inlineStr">
        <is>
          <t>Vídeo</t>
        </is>
      </c>
      <c r="O19" s="7" t="inlineStr">
        <is>
          <t>Passo a passo animado com chamada para ação por palavra-chave ("comente CUIDADO"): fecha o mês com um caminho claro para o RH.</t>
        </is>
      </c>
      <c r="P19" s="7" t="inlineStr">
        <is>
          <t>Instagram + LinkedIn</t>
        </is>
      </c>
      <c r="Q19" s="7" t="inlineStr">
        <is>
          <t>FairJob</t>
        </is>
      </c>
      <c r="R19" s="7" t="inlineStr">
        <is>
          <t>Começa com um diagnóstico gratuito, segue com uma proposta personalizada e chega à implantação. Comente CUIDADO.</t>
        </is>
      </c>
      <c r="S19" s="7" t="inlineStr">
        <is>
          <t>Executive Summary (etapas comerciais).</t>
        </is>
      </c>
      <c r="T19" s="7" t="inlineStr">
        <is>
          <t>Não citar prazos de cada etapa sem confirmação. Confirmar o destino do link (www.fairhealth.com.br) e quem responde os comentários e DMs.</t>
        </is>
      </c>
      <c r="U19" s="7" t="inlineStr">
        <is>
          <t>Pauta proposta</t>
        </is>
      </c>
      <c r="V19" s="7" t="n"/>
      <c r="W19" s="7" t="inlineStr">
        <is>
          <t>Reel de 20 a 25 s, motion em 3 passos.
0–3 s: "Como levar o Escritório do Cuidado para a sua empresa?"
3–9 s: PASSO 1 · Diagnóstico gratuito
9–15 s: PASSO 2 · Proposta personalizada
15–20 s: PASSO 3 · Implantação e primeiros atendimentos
20–25 s: "Comente CUIDADO." + logo.</t>
        </is>
      </c>
      <c r="X19" s="7" t="inlineStr">
        <is>
          <t>Modelo M2 (passos) animado e M1 no fim.</t>
        </is>
      </c>
      <c r="Y19" s="7" t="n"/>
      <c r="Z19" s="7" t="n"/>
    </row>
    <row r="20">
      <c r="A20" s="7" t="inlineStr">
        <is>
          <t>M1-16</t>
        </is>
      </c>
      <c r="B20" s="7" t="inlineStr">
        <is>
          <t>Mês 1</t>
        </is>
      </c>
      <c r="C20" s="7" t="n">
        <v>4</v>
      </c>
      <c r="D20" s="17">
        <f>$D$2+(C20-1)*7+4</f>
        <v/>
      </c>
      <c r="E20" s="7" t="inlineStr">
        <is>
          <t>Produto</t>
        </is>
      </c>
      <c r="F20" s="7" t="inlineStr">
        <is>
          <t>Liderança Bem-Estar</t>
        </is>
      </c>
      <c r="G20" s="7" t="inlineStr">
        <is>
          <t>Convite</t>
        </is>
      </c>
      <c r="H20" s="7" t="inlineStr">
        <is>
          <t>Ciência: estilo de vida e diabetes (Dia Mundial do Diabetes, 14/11)</t>
        </is>
      </c>
      <c r="I20" s="7" t="inlineStr">
        <is>
          <t>Ciência no cuidado</t>
        </is>
      </c>
      <c r="J20" s="7" t="inlineStr">
        <is>
          <t>Estilo de vida também é tratamento sério</t>
        </is>
      </c>
      <c r="K20" s="7" t="inlineStr">
        <is>
          <t>Colaboradores; RH; Medicina do Trabalho</t>
        </is>
      </c>
      <c r="L20" s="7" t="inlineStr">
        <is>
          <t>Mudar hábitos faz diferença de verdade ou é só conselho?</t>
        </is>
      </c>
      <c r="M20" s="7" t="inlineStr">
        <is>
          <t>Mostrar a base científica da MEV com um estudo clássico, na véspera do Dia Mundial do Diabetes</t>
        </is>
      </c>
      <c r="N20" s="7" t="inlineStr">
        <is>
          <t>Carrossel</t>
        </is>
      </c>
      <c r="O20" s="7" t="inlineStr">
        <is>
          <t>Carrossel "o que a ciência diz": um estudo, uma ideia, a fonte completa. Conecta uma data do calendário ao nosso trabalho com evidência, sem oportunismo.</t>
        </is>
      </c>
      <c r="P20" s="7" t="inlineStr">
        <is>
          <t>Instagram + LinkedIn</t>
        </is>
      </c>
      <c r="Q20" s="7" t="inlineStr">
        <is>
          <t>FairJob</t>
        </is>
      </c>
      <c r="R20" s="7" t="inlineStr">
        <is>
          <t>Num estudo clássico, publicado no New England Journal of Medicine, mudanças de estilo de vida reduziram em 58% os novos casos de diabetes tipo 2 em pessoas com risco, em comparação com o placebo. É por isso que o nosso cuidado começa pela rotina.</t>
        </is>
      </c>
      <c r="S20" s="7" t="inlineStr">
        <is>
          <t>Diabetes Prevention Program Research Group. Reduction in the incidence of type 2 diabetes with lifestyle intervention or metformin. N Engl J Med. 2002;346(6):393-403. doi:10.1056/NEJMoa012512</t>
        </is>
      </c>
      <c r="T20" s="7" t="inlineStr">
        <is>
          <t>Responsável médica valida a leitura do estudo. Deixar claro que o estudo foi com adultos com pré-diabetes (risco aumentado) e que não é promessa individual. Número suave: cuidado primeiro, número como contexto, fonte visível e discreta (aba Ciência).</t>
        </is>
      </c>
      <c r="U20" s="7" t="inlineStr">
        <is>
          <t>Pauta proposta</t>
        </is>
      </c>
      <c r="V20" s="7" t="n"/>
      <c r="W20" s="7" t="inlineStr">
        <is>
          <t>7 slides.
1 Capa: "Estilo de vida também é tratamento sério."
2 Amanhã é o Dia Mundial do Diabetes. Vale lembrar de um estudo que mudou a forma de cuidar.
3 Mais de 3 mil adultos com risco aumentado de diabetes tipo 2 foram acompanhados por quase 3 anos.
4 Quem mudou a rotina (alimentação e 150 minutos de atividade física por semana) teve 58% menos casos novos do que o grupo placebo.
5 Em texto menor: mais do que o grupo que recebeu medicamento (31%).
6 Não é promessa: é a ciência dizendo que a rotina importa. Por isso o nosso cuidado começa nela, com um plano feito para cada pessoa.
7 "O que é importante para você?" Fonte completa: Diabetes Prevention Program, N Engl J Med, 2002.</t>
        </is>
      </c>
      <c r="X20" s="7" t="inlineStr">
        <is>
          <t>Modelo M6 (dado com fonte) suave nos slides 4 e 5, M2 nos demais. Números em verde-escuro, sem destaque alarmista.</t>
        </is>
      </c>
      <c r="Y20" s="7" t="n"/>
      <c r="Z20" s="7" t="n"/>
    </row>
    <row r="21">
      <c r="A21" s="7" t="inlineStr">
        <is>
          <t>M2-01</t>
        </is>
      </c>
      <c r="B21" s="7" t="inlineStr">
        <is>
          <t>Mês 2</t>
        </is>
      </c>
      <c r="C21" s="7" t="n">
        <v>5</v>
      </c>
      <c r="D21" s="17">
        <f>$D$2+(C21-1)*7+0</f>
        <v/>
      </c>
      <c r="E21" s="7" t="inlineStr">
        <is>
          <t>Projetos, eventos e entregas</t>
        </is>
      </c>
      <c r="F21" s="7" t="inlineStr">
        <is>
          <t>Stop Loss</t>
        </is>
      </c>
      <c r="G21" s="7" t="inlineStr">
        <is>
          <t>Prova</t>
        </is>
      </c>
      <c r="H21" s="7" t="inlineStr">
        <is>
          <t>Ciência: prevenção como investimento</t>
        </is>
      </c>
      <c r="I21" s="7" t="inlineStr">
        <is>
          <t>Ciência no cuidado</t>
        </is>
      </c>
      <c r="J21" s="7" t="inlineStr">
        <is>
          <t>Prevenção também é investimento</t>
        </is>
      </c>
      <c r="K21" s="7" t="inlineStr">
        <is>
          <t>RH; Diretoria financeira</t>
        </is>
      </c>
      <c r="L21" s="7" t="inlineStr">
        <is>
          <t>Prevenção dá retorno para a empresa ou é só mais um custo?</t>
        </is>
      </c>
      <c r="M21" s="7" t="inlineStr">
        <is>
          <t>Mostrar, com estudos externos e a fonte visível, que prevenção também é investimento</t>
        </is>
      </c>
      <c r="N21" s="7" t="inlineStr">
        <is>
          <t>Foto única</t>
        </is>
      </c>
      <c r="O21" s="7" t="inlineStr">
        <is>
          <t>A arte já está pronta: é o slide de números que saiu do carrossel "O que é a fairhealth" para ele caber em 10 fotos. Um post só dele dá espaço para explicar cada estudo com calma.</t>
        </is>
      </c>
      <c r="P21" s="7" t="inlineStr">
        <is>
          <t>Instagram + LinkedIn</t>
        </is>
      </c>
      <c r="Q21" s="7" t="inlineStr">
        <is>
          <t>FairJob</t>
        </is>
      </c>
      <c r="R21" s="7" t="inlineStr">
        <is>
          <t>O que os estudos apontam: −28% de absenteísmo (Harvard Business Review, 2022) e −22% de custos com saúde (SHRM, 2023).</t>
        </is>
      </c>
      <c r="S21" s="7" t="inlineStr">
        <is>
          <t>Harvard Business Review (2022); SHRM (2023). Números oficiais desde 25/09 (instagram/voice.md).</t>
        </is>
      </c>
      <c r="T21" s="7" t="inlineStr">
        <is>
          <t>Confirmar o que cada estudo mediu (tipo de programa e população) antes de publicar. São estudos externos, nunca resultado da Fair Health. Número suave: cuidado primeiro, número como contexto, fonte visível e discreta (aba Ciência).</t>
        </is>
      </c>
      <c r="U21" s="7" t="inlineStr">
        <is>
          <t>Em revisão</t>
        </is>
      </c>
      <c r="V21" s="7" t="inlineStr">
        <is>
          <t>Prevenção também é investimento.
Cuidar antes faz bem para as pessoas. E os estudos mostram que também faz diferença para a empresa:
−28% de absenteísmo (Harvard Business Review, 2022)
−22% de custos com saúde (SHRM, 2023)
São números de estudos externos, não uma promessa de resultado.
É esse o trabalho da fairhealth: medicina preventiva, dentro da empresa, com um plano de cuidado para cada pessoa.
Quer conversar sobre isso na sua empresa? Fale com a gente pelo direct.
#fairhealth #saudecorporativa #medicinapreventiva #absenteismo #gestaodepessoas</t>
        </is>
      </c>
      <c r="W21" s="7" t="inlineStr">
        <is>
          <t>Foto única 1080x1350, já pronta. Se quisermos explicar melhor cada estudo, vira um carrossel curto: capa, um número por slide com a fonte, fechamento.</t>
        </is>
      </c>
      <c r="X21" s="7" t="inlineStr">
        <is>
          <t>Canva: design "O que é a fairhealth · carrossel v7", página guardada depois do carrossel (luz tiffany, números em tiffany, sem brilho). Repositório: instagram/posts/o-que-e-a-fairhealth/png-v10/d10.png.</t>
        </is>
      </c>
      <c r="Y21" s="7" t="n"/>
      <c r="Z21" s="7" t="inlineStr">
        <is>
          <t>Decisão da Nina (12/10): o slide de números saiu do carrossel "O que é a fairhealth" (limite de 10 fotos do Instagram) e vira um post separado.</t>
        </is>
      </c>
    </row>
  </sheetData>
  <autoFilter ref="A4:Z81"/>
  <mergeCells count="1">
    <mergeCell ref="A2:C2"/>
  </mergeCells>
  <conditionalFormatting sqref="E5:E81">
    <cfRule type="expression" priority="1" dxfId="0">
      <formula>$E5="Institucional"</formula>
    </cfRule>
    <cfRule type="expression" priority="2" dxfId="1">
      <formula>$E5="Produto"</formula>
    </cfRule>
    <cfRule type="expression" priority="3" dxfId="2">
      <formula>$E5="Projetos, eventos e entregas"</formula>
    </cfRule>
  </conditionalFormatting>
  <conditionalFormatting sqref="N5:N81">
    <cfRule type="expression" priority="4" dxfId="3">
      <formula>$N5="Vídeo"</formula>
    </cfRule>
  </conditionalFormatting>
  <conditionalFormatting sqref="G5:G81">
    <cfRule type="expression" priority="5" dxfId="4">
      <formula>$G5="Abertura"</formula>
    </cfRule>
    <cfRule type="expression" priority="6" dxfId="5">
      <formula>$G5="Dor"</formula>
    </cfRule>
    <cfRule type="expression" priority="7" dxfId="6">
      <formula>$G5="Virada"</formula>
    </cfRule>
    <cfRule type="expression" priority="8" dxfId="7">
      <formula>$G5="Prova"</formula>
    </cfRule>
    <cfRule type="expression" priority="9" dxfId="8">
      <formula>$G5="Convite"</formula>
    </cfRule>
  </conditionalFormatting>
  <dataValidations count="7">
    <dataValidation sqref="E5:E81" showDropDown="0" showInputMessage="0" showErrorMessage="0" allowBlank="1" error="Escolha um valor da lista (aba Listas). Para criar um valor novo, inclua-o na aba Listas." type="list" errorStyle="warning">
      <formula1>=Listas!$A$2:$A$4</formula1>
    </dataValidation>
    <dataValidation sqref="N5:N81" showDropDown="0" showInputMessage="0" showErrorMessage="0" allowBlank="1" error="Escolha um valor da lista (aba Listas). Para criar um valor novo, inclua-o na aba Listas." type="list" errorStyle="warning">
      <formula1>=Listas!$B$2:$B$5</formula1>
    </dataValidation>
    <dataValidation sqref="P5:P81" showDropDown="0" showInputMessage="0" showErrorMessage="0" allowBlank="1" error="Escolha um valor da lista (aba Listas). Para criar um valor novo, inclua-o na aba Listas." type="list" errorStyle="warning">
      <formula1>=Listas!$C$2:$C$5</formula1>
    </dataValidation>
    <dataValidation sqref="U5:U81" showDropDown="0" showInputMessage="0" showErrorMessage="0" allowBlank="1" error="Escolha um valor da lista (aba Listas). Para criar um valor novo, inclua-o na aba Listas." type="list" errorStyle="warning">
      <formula1>=Listas!$D$2:$D$15</formula1>
    </dataValidation>
    <dataValidation sqref="B5:B81" showDropDown="0" showInputMessage="0" showErrorMessage="0" allowBlank="1" error="Escolha um valor da lista (aba Listas). Para criar um valor novo, inclua-o na aba Listas." type="list" errorStyle="warning">
      <formula1>=Listas!$E$2:$E$13</formula1>
    </dataValidation>
    <dataValidation sqref="F5:F81" showDropDown="0" showInputMessage="0" showErrorMessage="0" allowBlank="1" error="Escolha um valor da lista (aba Listas). Para criar um valor novo, inclua-o na aba Listas." type="list" errorStyle="warning">
      <formula1>=Listas!$F$2:$F$7</formula1>
    </dataValidation>
    <dataValidation sqref="G5:G81" showDropDown="0" showInputMessage="0" showErrorMessage="0" allowBlank="1" error="Escolha um valor da lista (aba Listas). Para criar um valor novo, inclua-o na aba Listas." type="list" errorStyle="warning">
      <formula1>=Listas!$G$2:$G$6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  <col width="44" customWidth="1" min="4" max="4"/>
    <col width="40" customWidth="1" min="5" max="5"/>
    <col width="18" customWidth="1" min="6" max="6"/>
  </cols>
  <sheetData>
    <row r="1">
      <c r="A1" s="10" t="inlineStr">
        <is>
          <t>Formatos do mês: sem time em cena, sem gravar nas empresas-clientes e sem nomes reais</t>
        </is>
      </c>
    </row>
    <row r="2">
      <c r="A2" s="11" t="inlineStr">
        <is>
          <t>Formato</t>
        </is>
      </c>
      <c r="B2" s="11" t="inlineStr">
        <is>
          <t>Como é</t>
        </is>
      </c>
      <c r="C2" s="11" t="inlineStr">
        <is>
          <t>Por que funciona</t>
        </is>
      </c>
      <c r="D2" s="11" t="inlineStr">
        <is>
          <t>O que precisa para produzir</t>
        </is>
      </c>
      <c r="E2" s="11" t="inlineStr">
        <is>
          <t>Cuidados</t>
        </is>
      </c>
      <c r="F2" s="11" t="inlineStr">
        <is>
          <t>Onde usamos</t>
        </is>
      </c>
    </row>
    <row r="3">
      <c r="A3" s="7" t="inlineStr">
        <is>
          <t>Reel de tipografia animada</t>
        </is>
      </c>
      <c r="B3" s="7" t="inlineStr">
        <is>
          <t>Frases curtas na tela, uma por vez, sobre o fundo da marca. Trilha calma; voz em off opcional.</t>
        </is>
      </c>
      <c r="C3" s="7" t="inlineStr">
        <is>
          <t>Gancho na primeira frase, lido sem som. Não depende de filmagem. Sequências do tipo "antes do..." prendem até o fim.</t>
        </is>
      </c>
      <c r="D3" s="7" t="inlineStr">
        <is>
          <t>Texto aprovado, Canva (animação de texto) ou CapCut. 1 a 2 horas.</t>
        </is>
      </c>
      <c r="E3" s="7" t="inlineStr">
        <is>
          <t>Frases curtas; no máximo 7 cenas; logo só no fim.</t>
        </is>
      </c>
      <c r="F3" s="7" t="inlineStr">
        <is>
          <t>M1-03, M1-11</t>
        </is>
      </c>
    </row>
    <row r="4">
      <c r="A4" s="7" t="inlineStr">
        <is>
          <t>Explicador animado (motion com ícones)</t>
        </is>
      </c>
      <c r="B4" s="7" t="inlineStr">
        <is>
          <t>Conceito explicado com ícones e voz em off, em até 60 s.</t>
        </is>
      </c>
      <c r="C4" s="7" t="inlineStr">
        <is>
          <t>Explica um conceito novo (MEV, passos da oferta) mais rápido que um carrossel e circula bem no LinkedIn.</t>
        </is>
      </c>
      <c r="D4" s="7" t="inlineStr">
        <is>
          <t>Roteiro aprovado, ícones lineares, voz em off (pode ser gravada pelo celular em local silencioso).</t>
        </is>
      </c>
      <c r="E4" s="7" t="inlineStr">
        <is>
          <t>Validação médica de tudo o que for clínico.</t>
        </is>
      </c>
      <c r="F4" s="7" t="inlineStr">
        <is>
          <t>M1-05, M1-15</t>
        </is>
      </c>
    </row>
    <row r="5">
      <c r="A5" s="7" t="inlineStr">
        <is>
          <t>Gravação de tela</t>
        </is>
      </c>
      <c r="B5" s="7" t="inlineStr">
        <is>
          <t>Rolagem por um painel ou tela do produto, com texto na tela.</t>
        </is>
      </c>
      <c r="C5" s="7" t="inlineStr">
        <is>
          <t>Mostra o produto de verdade sem expor ninguém e responde à dúvida "o que eu recebo?".</t>
        </is>
      </c>
      <c r="D5" s="7" t="inlineStr">
        <is>
          <t>Painel com dados fictícios e aviso "dados ilustrativos".</t>
        </is>
      </c>
      <c r="E5" s="7" t="inlineStr">
        <is>
          <t>Nunca dado real nem individual.</t>
        </is>
      </c>
      <c r="F5" s="7" t="inlineStr">
        <is>
          <t>M1-07</t>
        </is>
      </c>
    </row>
    <row r="6">
      <c r="A6" s="7" t="inlineStr">
        <is>
          <t>Número contado como história</t>
        </is>
      </c>
      <c r="B6" s="7" t="inlineStr">
        <is>
          <t>Primeiro a cena de cuidado, depois o número, em ritmo lento e com a fonte discreta.</t>
        </is>
      </c>
      <c r="C6" s="7" t="inlineStr">
        <is>
          <t>O número prova sem tirar o foco do cuidado; o RH leva a prova para a diretoria sem cara de anúncio.</t>
        </is>
      </c>
      <c r="D6" s="7" t="inlineStr">
        <is>
          <t>Números liberados (aba Fontes) ou de estudos (aba Ciência).</t>
        </is>
      </c>
      <c r="E6" s="7" t="inlineStr">
        <is>
          <t>Sempre agregado; sem nome da empresa; regras de número suave (abaixo).</t>
        </is>
      </c>
      <c r="F6" s="7" t="inlineStr">
        <is>
          <t>M1-09</t>
        </is>
      </c>
    </row>
    <row r="7">
      <c r="A7" s="7" t="inlineStr">
        <is>
          <t>Carrossel "o que a ciência diz"</t>
        </is>
      </c>
      <c r="B7" s="7" t="inlineStr">
        <is>
          <t>Um estudo por post: o que foi feito, o que encontrou, o que isso tem a ver com o nosso cuidado, e a referência completa.</t>
        </is>
      </c>
      <c r="C7" s="7" t="inlineStr">
        <is>
          <t>Transfere a autoridade da ciência para a marca e educa sem prometer. Conecta datas do calendário ao trabalho sem oportunismo.</t>
        </is>
      </c>
      <c r="D7" s="7" t="inlineStr">
        <is>
          <t>Estudo da aba Ciência, lido pela responsável médica.</t>
        </is>
      </c>
      <c r="E7" s="7" t="inlineStr">
        <is>
          <t>Explicar para quem o estudo vale; nunca transformar em promessa individual.</t>
        </is>
      </c>
      <c r="F7" s="7" t="inlineStr">
        <is>
          <t>M1-14, M1-16</t>
        </is>
      </c>
    </row>
    <row r="8">
      <c r="A8" s="7" t="inlineStr">
        <is>
          <t>Reel de dicas com imagem de banco</t>
        </is>
      </c>
      <c r="B8" s="7" t="inlineStr">
        <is>
          <t>"3 hábitos" com texto na tela sobre imagens de banco.</t>
        </is>
      </c>
      <c r="C8" s="7" t="inlineStr">
        <is>
          <t>Dica prática é salva e compartilhada; imagens de banco evitam gravar pessoas.</t>
        </is>
      </c>
      <c r="D8" s="7" t="inlineStr">
        <is>
          <t>Banco de imagens (Canva, Pexels) sem rosto identificável.</t>
        </is>
      </c>
      <c r="E8" s="7" t="inlineStr">
        <is>
          <t>Sem promessa clínica; validação médica.</t>
        </is>
      </c>
      <c r="F8" s="7" t="inlineStr">
        <is>
          <t>M1-13</t>
        </is>
      </c>
    </row>
    <row r="9">
      <c r="A9" s="7" t="inlineStr">
        <is>
          <t>Carrossel passo a passo</t>
        </is>
      </c>
      <c r="B9" s="7" t="inlineStr">
        <is>
          <t>Um passo ou uma objeção por slide, com capa-pergunta.</t>
        </is>
      </c>
      <c r="C9" s="7" t="inlineStr">
        <is>
          <t>É o formato mais salvo em conteúdo explicativo e o que já testamos no carrossel de acolhimento.</t>
        </is>
      </c>
      <c r="D9" s="7" t="inlineStr">
        <is>
          <t>Modelos M1, M2 e M3 no Canva.</t>
        </is>
      </c>
      <c r="E9" s="7" t="inlineStr">
        <is>
          <t>Até 10 slides; uma ideia por slide.</t>
        </is>
      </c>
      <c r="F9" s="7" t="inlineStr">
        <is>
          <t>M1-02, M1-10</t>
        </is>
      </c>
    </row>
    <row r="10">
      <c r="A10" s="7" t="inlineStr">
        <is>
          <t>História com personagem fictícia</t>
        </is>
      </c>
      <c r="B10" s="7" t="inlineStr">
        <is>
          <t>Uma personagem inventada (nome, idade, rotina) mostra como o cuidado funciona na prática.</t>
        </is>
      </c>
      <c r="C10" s="7" t="inlineStr">
        <is>
          <t>História prende mais que explicação e permite mostrar o plano sem expor ninguém.</t>
        </is>
      </c>
      <c r="D10" s="7" t="inlineStr">
        <is>
          <t>Personagem escrita com a responsável médica para ser plausível.</t>
        </is>
      </c>
      <c r="E10" s="7" t="inlineStr">
        <is>
          <t>Sinalizar "história ilustrativa, personagem fictícia" no post; nunca apresentar como depoimento.</t>
        </is>
      </c>
      <c r="F10" s="7" t="inlineStr">
        <is>
          <t>M1-08</t>
        </is>
      </c>
    </row>
    <row r="11">
      <c r="A11" s="7" t="inlineStr">
        <is>
          <t>Carrossel-resumo de artigo</t>
        </is>
      </c>
      <c r="B11" s="7" t="inlineStr">
        <is>
          <t>As ideias principais de um artigo publicado, com citações literais e link nos stories.</t>
        </is>
      </c>
      <c r="C11" s="7" t="inlineStr">
        <is>
          <t>Leva a autoridade do veículo para a marca; muito compartilhado entre profissionais de RH.</t>
        </is>
      </c>
      <c r="D11" s="7" t="inlineStr">
        <is>
          <t>Artigo publicado.</t>
        </is>
      </c>
      <c r="E11" s="7" t="inlineStr">
        <is>
          <t>Citar só o artigo e o veículo, sem nome do autor; citações literais conferidas.</t>
        </is>
      </c>
      <c r="F11" s="7" t="inlineStr">
        <is>
          <t>M1-04</t>
        </is>
      </c>
    </row>
    <row r="12">
      <c r="A12" s="7" t="inlineStr">
        <is>
          <t>Carrossel comparativo (isto × aquilo)</t>
        </is>
      </c>
      <c r="B12" s="7" t="inlineStr">
        <is>
          <t>Duas colunas que contrastam duas ideias.</t>
        </is>
      </c>
      <c r="C12" s="7" t="inlineStr">
        <is>
          <t>A diferença fica clara em segundos; ajuda o RH a defender a decisão internamente.</t>
        </is>
      </c>
      <c r="D12" s="7" t="inlineStr">
        <is>
          <t>Modelo M1 e comparativo em duas colunas.</t>
        </is>
      </c>
      <c r="E12" s="7" t="inlineStr">
        <is>
          <t>Não citar marcas de terceiros.</t>
        </is>
      </c>
      <c r="F12" s="7" t="inlineStr">
        <is>
          <t>M1-06</t>
        </is>
      </c>
    </row>
    <row r="13">
      <c r="A13" s="7" t="inlineStr">
        <is>
          <t>Card de citação</t>
        </is>
      </c>
      <c r="B13" s="7" t="inlineStr">
        <is>
          <t>Uma frase em destaque com assinatura.</t>
        </is>
      </c>
      <c r="C13" s="7" t="inlineStr">
        <is>
          <t>Fácil de compartilhar nos stories e no LinkedIn; reaproveita conteúdo sem repetir.</t>
        </is>
      </c>
      <c r="D13" s="7" t="inlineStr">
        <is>
          <t>Modelo M8.</t>
        </is>
      </c>
      <c r="E13" s="7" t="inlineStr">
        <is>
          <t>Citação literal; crédito ao artigo, sem nome de pessoa.</t>
        </is>
      </c>
      <c r="F13" s="7" t="inlineStr">
        <is>
          <t>M1-12</t>
        </is>
      </c>
    </row>
    <row r="14">
      <c r="A14" s="7" t="inlineStr">
        <is>
          <t>Checklist salvável</t>
        </is>
      </c>
      <c r="B14" s="7" t="inlineStr">
        <is>
          <t>Perguntas ou itens numerados, um por slide, com convite para salvar.</t>
        </is>
      </c>
      <c r="C14" s="7" t="inlineStr">
        <is>
          <t>Conteúdo útil é salvo e repassado à liderança.</t>
        </is>
      </c>
      <c r="D14" s="7" t="inlineStr">
        <is>
          <t>Modelo M2 com etiqueta 1/5.</t>
        </is>
      </c>
      <c r="E14" s="7" t="inlineStr">
        <is>
          <t>Fonte oficial quando cita norma.</t>
        </is>
      </c>
      <c r="F14" s="7" t="inlineStr">
        <is>
          <t>Banco de ideias (NR-1)</t>
        </is>
      </c>
    </row>
    <row r="16">
      <c r="A16" s="10" t="inlineStr">
        <is>
          <t>Números com suavidade (decisão de 09/10: números sim, foco no cuidado)</t>
        </is>
      </c>
    </row>
    <row r="17">
      <c r="A17" s="11" t="inlineStr">
        <is>
          <t>Regra</t>
        </is>
      </c>
      <c r="B17" s="11" t="inlineStr">
        <is>
          <t>Como fazer</t>
        </is>
      </c>
      <c r="C17" s="11" t="inlineStr">
        <is>
          <t>Exemplo</t>
        </is>
      </c>
      <c r="D17" s="11" t="inlineStr">
        <is>
          <t>Evitar</t>
        </is>
      </c>
      <c r="E17" s="11" t="inlineStr"/>
      <c r="F17" s="11" t="inlineStr"/>
    </row>
    <row r="18">
      <c r="A18" s="7" t="inlineStr">
        <is>
          <t>Cuidado primeiro</t>
        </is>
      </c>
      <c r="B18" s="7" t="inlineStr">
        <is>
          <t>A frase de cuidado abre; o número entra depois, como contexto.</t>
        </is>
      </c>
      <c r="C18" s="7" t="inlineStr">
        <is>
          <t>"Ninguém volta a um lugar onde não se sentiu cuidado." → "8 em cada 10 voltaram."</t>
        </is>
      </c>
      <c r="D18" s="7" t="inlineStr">
        <is>
          <t>Abrir com o número como manchete.</t>
        </is>
      </c>
      <c r="E18" s="7" t="inlineStr"/>
      <c r="F18" s="7" t="inlineStr"/>
    </row>
    <row r="19">
      <c r="A19" s="7" t="inlineStr">
        <is>
          <t>Um número principal por peça</t>
        </is>
      </c>
      <c r="B19" s="7" t="inlineStr">
        <is>
          <t>Os outros números, se houver, vão em texto menor ou na legenda.</t>
        </is>
      </c>
      <c r="C19" s="7" t="inlineStr">
        <is>
          <t>M1-09: 8 em cada 10 em destaque; 98% em texto menor.</t>
        </is>
      </c>
      <c r="D19" s="7" t="inlineStr">
        <is>
          <t>Painel de números em sequência.</t>
        </is>
      </c>
      <c r="E19" s="7" t="inlineStr"/>
      <c r="F19" s="7" t="inlineStr"/>
    </row>
    <row r="20">
      <c r="A20" s="7" t="inlineStr">
        <is>
          <t>Traduzir em gente</t>
        </is>
      </c>
      <c r="B20" s="7" t="inlineStr">
        <is>
          <t>Preferir "8 em cada 10 pessoas" a "81,3%"; arredondar com honestidade.</t>
        </is>
      </c>
      <c r="C20" s="7" t="inlineStr">
        <is>
          <t>"Mais de 470 mil licenças" em vez de "472.328".</t>
        </is>
      </c>
      <c r="D20" s="7" t="inlineStr">
        <is>
          <t>Casas decimais e jargão estatístico.</t>
        </is>
      </c>
      <c r="E20" s="7" t="inlineStr"/>
      <c r="F20" s="7" t="inlineStr"/>
    </row>
    <row r="21">
      <c r="A21" s="7" t="inlineStr">
        <is>
          <t>Tom calmo</t>
        </is>
      </c>
      <c r="B21" s="7" t="inlineStr">
        <is>
          <t>Verde-escuro, ritmo lento, sem efeito de conquista.</t>
        </is>
      </c>
      <c r="C21" s="7" t="inlineStr">
        <is>
          <t>Número em Raleway, peso médio, sem seta.</t>
        </is>
      </c>
      <c r="D21" s="7" t="inlineStr">
        <is>
          <t>Vermelho, alarme, "explodiu", "recorde assustador".</t>
        </is>
      </c>
      <c r="E21" s="7" t="inlineStr"/>
      <c r="F21" s="7" t="inlineStr"/>
    </row>
    <row r="22">
      <c r="A22" s="7" t="inlineStr">
        <is>
          <t>Fonte sempre</t>
        </is>
      </c>
      <c r="B22" s="7" t="inlineStr">
        <is>
          <t>Fonte visível no rodapé e referência completa na aba Ciência ou Fontes.</t>
        </is>
      </c>
      <c r="C22" s="7" t="inlineStr">
        <is>
          <t>"Fonte: OMS, 2022."</t>
        </is>
      </c>
      <c r="D22" s="7" t="inlineStr">
        <is>
          <t>Número sem fonte ou "estudos mostram".</t>
        </is>
      </c>
      <c r="E22" s="7" t="inlineStr"/>
      <c r="F22" s="7" t="inlineStr"/>
    </row>
    <row r="23">
      <c r="A23" s="7" t="inlineStr">
        <is>
          <t>Sem promessa</t>
        </is>
      </c>
      <c r="B23" s="7" t="inlineStr">
        <is>
          <t>O número fala do estudo ou do grupo, nunca do resultado de quem vai ser atendido.</t>
        </is>
      </c>
      <c r="C23" s="7" t="inlineStr">
        <is>
          <t>"No estudo, 58% menos casos novos."</t>
        </is>
      </c>
      <c r="D23" s="7" t="inlineStr">
        <is>
          <t>"Você vai reduzir 58% do seu risco."</t>
        </is>
      </c>
      <c r="E23" s="7" t="inlineStr"/>
      <c r="F2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6" customWidth="1" min="3" max="3"/>
    <col width="40" customWidth="1" min="4" max="4"/>
    <col width="40" customWidth="1" min="5" max="5"/>
    <col width="34" customWidth="1" min="6" max="6"/>
    <col width="16" customWidth="1" min="7" max="7"/>
  </cols>
  <sheetData>
    <row r="1">
      <c r="A1" s="10" t="inlineStr">
        <is>
          <t>Ciência: estudos e fontes oficiais para posts (sempre com a referência completa)</t>
        </is>
      </c>
    </row>
    <row r="2">
      <c r="A2" s="11" t="inlineStr">
        <is>
          <t>Estudo ou fonte</t>
        </is>
      </c>
      <c r="B2" s="11" t="inlineStr">
        <is>
          <t>Referência completa</t>
        </is>
      </c>
      <c r="C2" s="11" t="inlineStr">
        <is>
          <t>O que encontrou</t>
        </is>
      </c>
      <c r="D2" s="11" t="inlineStr">
        <is>
          <t>Como apresentar com suavidade</t>
        </is>
      </c>
      <c r="E2" s="11" t="inlineStr">
        <is>
          <t>Ligação com o nosso trabalho</t>
        </is>
      </c>
      <c r="F2" s="11" t="inlineStr">
        <is>
          <t>Cuidados</t>
        </is>
      </c>
      <c r="G2" s="11" t="inlineStr">
        <is>
          <t>Onde usamos</t>
        </is>
      </c>
    </row>
    <row r="3">
      <c r="A3" s="7" t="inlineStr">
        <is>
          <t>Diabetes Prevention Program (2002)</t>
        </is>
      </c>
      <c r="B3" s="7" t="inlineStr">
        <is>
          <t>Diabetes Prevention Program Research Group. Reduction in the incidence of type 2 diabetes with lifestyle intervention or metformin. N Engl J Med. 2002;346(6):393-403. doi:10.1056/NEJMoa012512</t>
        </is>
      </c>
      <c r="C3" s="7" t="inlineStr">
        <is>
          <t>3.234 adultos com pré-diabetes, acompanhados por 2,8 anos em média: mudança de estilo de vida (alimentação, 7% de perda de peso, 150 min de atividade física por semana) reduziu em 58% os casos novos de diabetes tipo 2 em relação ao placebo; a metformina reduziu 31%.</t>
        </is>
      </c>
      <c r="D3" s="7" t="inlineStr">
        <is>
          <t>"Quem mudou a rotina teve 58% menos casos novos." O 31% do medicamento em texto menor.</t>
        </is>
      </c>
      <c r="E3" s="7" t="inlineStr">
        <is>
          <t>A base da Medicina do Estilo de Vida: o cuidado começa pela rotina.</t>
        </is>
      </c>
      <c r="F3" s="7" t="inlineStr">
        <is>
          <t>Vale para adultos com risco aumentado; não é promessa individual. Validação médica.</t>
        </is>
      </c>
      <c r="G3" s="7" t="inlineStr">
        <is>
          <t>M1-16</t>
        </is>
      </c>
    </row>
    <row r="4">
      <c r="A4" s="7" t="inlineStr">
        <is>
          <t>OMS: diretrizes sobre saúde mental no trabalho (2022)</t>
        </is>
      </c>
      <c r="B4" s="7" t="inlineStr">
        <is>
          <t>OMS. Guidelines on mental health at work, 28/09/2022 (com a OIT: policy brief "Mental health at work"). https://www.who.int/news/item/28-09-2022-who-and-ilo-call-for-new-measures-to-tackle-mental-health-issues-at-work</t>
        </is>
      </c>
      <c r="C4" s="7" t="inlineStr">
        <is>
          <t>Primeiras diretrizes da OMS sobre o tema. Recomenda, entre outras ações, preparar gestores para prevenir ambientes de estresse e acolher quem está em sofrimento. Com a OIT, estima que depressão e ansiedade custam cerca de 12 bilhões de dias de trabalho por ano no mundo.</t>
        </is>
      </c>
      <c r="D4" s="7" t="inlineStr">
        <is>
          <t>Recomendação como gesto simples para o líder; os 12 bilhões de dias, se usados, em texto menor.</t>
        </is>
      </c>
      <c r="E4" s="7" t="inlineStr">
        <is>
          <t>Liderança Bem-Estar e NR-1: preparar líderes e cuidar dentro da empresa.</t>
        </is>
      </c>
      <c r="F4" s="7" t="inlineStr">
        <is>
          <t>Conferir a redação exata nas diretrizes.</t>
        </is>
      </c>
      <c r="G4" s="7" t="inlineStr">
        <is>
          <t>M1-14</t>
        </is>
      </c>
    </row>
    <row r="5">
      <c r="A5" s="7" t="inlineStr">
        <is>
          <t>Licenças por transtornos mentais no Brasil (2024)</t>
        </is>
      </c>
      <c r="B5" s="7" t="inlineStr">
        <is>
          <t>Ministério da Previdência Social: 472.328 licenças por transtornos mentais em 2024, maior número da série iniciada em 2014 (dados divulgados em 2025; conferir no painel oficial de dados abertos antes de publicar).</t>
        </is>
      </c>
      <c r="C5" s="7" t="inlineStr">
        <is>
          <t>472.328 licenças por transtornos mentais em 2024, o maior número da série iniciada em 2014. Ansiedade e depressão lideram.</t>
        </is>
      </c>
      <c r="D5" s="7" t="inlineStr">
        <is>
          <t>"Mais de 470 mil licenças. Cada uma teve um antes." Em texto calmo, depois da frase de cuidado.</t>
        </is>
      </c>
      <c r="E5" s="7" t="inlineStr">
        <is>
          <t>O eixo "cuidar antes".</t>
        </is>
      </c>
      <c r="F5" s="7" t="inlineStr">
        <is>
          <t>Os números divulgados variam entre veículos (440 mil e 472 mil): conferir no painel oficial e citar a fonte primária.</t>
        </is>
      </c>
      <c r="G5" s="7" t="inlineStr">
        <is>
          <t>M1-03</t>
        </is>
      </c>
    </row>
    <row r="6">
      <c r="A6" s="7" t="inlineStr">
        <is>
          <t>Why sleep matters (RAND Europe, 2016)</t>
        </is>
      </c>
      <c r="B6" s="7" t="inlineStr">
        <is>
          <t>Hafner M. et al. Why sleep matters: the economic costs of insufficient sleep. RAND Europe, 2016 (RR-1791). https://www.rand.org/news/press/2016/11/30.html</t>
        </is>
      </c>
      <c r="C6" s="7" t="inlineStr">
        <is>
          <t>Sono insuficiente custa até 2,28% do PIB dos EUA e cerca de 1,2 milhão de dias de trabalho por ano; dormir menos de 6 horas está associado a risco de mortalidade 13% maior do que dormir de 7 a 9 horas.</t>
        </is>
      </c>
      <c r="D6" s="7" t="inlineStr">
        <is>
          <t>Usar a faixa saudável (7 a 9 horas) para o colaborador; o custo em dias de trabalho só para o RH, na legenda do LinkedIn.</t>
        </is>
      </c>
      <c r="E6" s="7" t="inlineStr">
        <is>
          <t>Pilar sono.</t>
        </is>
      </c>
      <c r="F6" s="7" t="inlineStr">
        <is>
          <t>Estimativas modeladas ("até"); evitar o dado de mortalidade em post para colaborador.</t>
        </is>
      </c>
      <c r="G6" s="7" t="inlineStr">
        <is>
          <t>M1-13</t>
        </is>
      </c>
    </row>
    <row r="7">
      <c r="A7" s="7" t="inlineStr">
        <is>
          <t>Global Burden of Disease 2019 (citado no artigo da RH Pra Você)</t>
        </is>
      </c>
      <c r="B7" s="7" t="inlineStr">
        <is>
          <t>GBD 2019 Mental Disorders Collaborators; artigo na Revista Brasileira de Epidemiologia (SciELO): https://www.scielo.br/j/rbepid/a/cwDkPDjSkDcC3hB73kp7yfC/</t>
        </is>
      </c>
      <c r="C7" s="7" t="inlineStr">
        <is>
          <t>Pessoas vivendo com 12 transtornos mentais em 204 países: de 654,8 milhões (1990) para 970,1 milhões (2019), +48,1%.</t>
        </is>
      </c>
      <c r="D7" s="7" t="inlineStr">
        <is>
          <t>"Quase 1 bilhão de pessoas", em texto menor, como contexto.</t>
        </is>
      </c>
      <c r="E7" s="7" t="inlineStr">
        <is>
          <t>Saúde mental é multifatorial; a empresa cuida da parte dela.</t>
        </is>
      </c>
      <c r="F7" s="7" t="inlineStr">
        <is>
          <t>Citar a fonte primária.</t>
        </is>
      </c>
      <c r="G7" s="7" t="inlineStr">
        <is>
          <t>M1-04</t>
        </is>
      </c>
    </row>
    <row r="8">
      <c r="A8" s="7" t="inlineStr">
        <is>
          <t>Atividade física e saúde mental (Singh et al., 2023)</t>
        </is>
      </c>
      <c r="B8" s="7" t="inlineStr">
        <is>
          <t>Singh B. et al. Effectiveness of physical activity interventions for improving depression, anxiety and distress: an overview of systematic reviews. Br J Sports Med. 2023. doi:10.1136/bjsports-2022-106195</t>
        </is>
      </c>
      <c r="C8" s="7" t="inlineStr">
        <is>
          <t>Revisão de 97 revisões (1.039 estudos, mais de 128 mil participantes): atividade física teve efeito moderado na redução de sintomas de depressão, ansiedade e sofrimento psicológico.</t>
        </is>
      </c>
      <c r="D8" s="7" t="inlineStr">
        <is>
          <t>"Mexer o corpo também cuida da mente", com o efeito descrito em palavras, sem número.</t>
        </is>
      </c>
      <c r="E8" s="7" t="inlineStr">
        <is>
          <t>Pilar atividade física e manejo do estresse.</t>
        </is>
      </c>
      <c r="F8" s="7" t="inlineStr">
        <is>
          <t>Não usar o "1,5 vez melhor que remédio" da imprensa: não está no resumo do artigo.</t>
        </is>
      </c>
      <c r="G8" s="7" t="inlineStr">
        <is>
          <t>Banco de ideias</t>
        </is>
      </c>
    </row>
    <row r="9">
      <c r="A9" s="7" t="inlineStr">
        <is>
          <t>Relações sociais e mortalidade (Holt-Lunstad et al., 2010)</t>
        </is>
      </c>
      <c r="B9" s="7" t="inlineStr">
        <is>
          <t>Holt-Lunstad J., Smith T.B., Layton J.B. Social relationships and mortality risk: a meta-analytic review. PLoS Med. 2010;7(7):e1000316. doi:10.1371/journal.pmed.1000316</t>
        </is>
      </c>
      <c r="C9" s="7" t="inlineStr">
        <is>
          <t>148 estudos, 308.849 participantes: relações sociais mais fortes associadas a maior chance de sobrevivência (razão de chances 1,50), efeito comparável a fatores de risco conhecidos.</t>
        </is>
      </c>
      <c r="D9" s="7" t="inlineStr">
        <is>
          <t>"Vínculos também são saúde", sem o número na peça para colaborador.</t>
        </is>
      </c>
      <c r="E9" s="7" t="inlineStr">
        <is>
          <t>Pilar relacionamentos; ambiente de trabalho.</t>
        </is>
      </c>
      <c r="F9" s="7" t="inlineStr">
        <is>
          <t>Evitar o "equivale a 15 cigarros por dia" da imprensa: não está no artigo.</t>
        </is>
      </c>
      <c r="G9" s="7" t="inlineStr">
        <is>
          <t>Banco de ideias</t>
        </is>
      </c>
    </row>
    <row r="10">
      <c r="A10" s="7" t="inlineStr">
        <is>
          <t>Estressores no trabalho, mortalidade e custos (Goh, Pfeffer e Zenios, 2016)</t>
        </is>
      </c>
      <c r="B10" s="7" t="inlineStr">
        <is>
          <t>Goh J., Pfeffer J., Zenios S.A. The relationship between workplace stressors and mortality and health costs in the United States. Management Science. 2016;62(2):608-628. doi:10.1287/mnsc.2014.2115</t>
        </is>
      </c>
      <c r="C10" s="7" t="inlineStr">
        <is>
          <t>Modelo com 10 estressores do trabalho (jornadas longas, insegurança, baixa autonomia, conflito trabalho-família, entre outros) estima mais de 120 mil mortes por ano e de 5% a 8% dos gastos com saúde nos EUA.</t>
        </is>
      </c>
      <c r="D10" s="7" t="inlineStr">
        <is>
          <t>Para o RH: "o jeito de trabalhar também entra na conta da saúde", número em texto menor.</t>
        </is>
      </c>
      <c r="E10" s="7" t="inlineStr">
        <is>
          <t>NR-1 e riscos psicossociais; Stop Loss.</t>
        </is>
      </c>
      <c r="F10" s="7" t="inlineStr">
        <is>
          <t>Conferir os números no artigo original antes de usar (vieram de resumos).</t>
        </is>
      </c>
      <c r="G10" s="7" t="inlineStr">
        <is>
          <t>Banco de ideias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0" customWidth="1" min="3" max="3"/>
    <col width="40" customWidth="1" min="4" max="4"/>
    <col width="18" customWidth="1" min="5" max="5"/>
  </cols>
  <sheetData>
    <row r="1">
      <c r="A1" s="10" t="inlineStr">
        <is>
          <t>Fontes internas, o artigo e o que não usar (nomes de clientes só para uso interno, nunca no post)</t>
        </is>
      </c>
    </row>
    <row r="2">
      <c r="A2" s="11" t="inlineStr">
        <is>
          <t>Fonte</t>
        </is>
      </c>
      <c r="B2" s="11" t="inlineStr">
        <is>
          <t>O que diz</t>
        </is>
      </c>
      <c r="C2" s="11" t="inlineStr">
        <is>
          <t>Como usar</t>
        </is>
      </c>
      <c r="D2" s="11" t="inlineStr">
        <is>
          <t>Situação</t>
        </is>
      </c>
      <c r="E2" s="11" t="inlineStr">
        <is>
          <t>Onde usamos</t>
        </is>
      </c>
    </row>
    <row r="3">
      <c r="A3" s="7" t="inlineStr">
        <is>
          <t>Artigo "Riscos psicossociais no ambiente de trabalho e saúde" (RH Pra Você, 25/09/2026)</t>
        </is>
      </c>
      <c r="B3" s="7" t="inlineStr">
        <is>
          <t>Desde maio de 2026 a NR-1 exige que as empresas identifiquem, avaliem e gerenciem os riscos psicossociais; o trabalho pode adoecer, mas não é o único vilão; a empresa responde pelo ambiente que constrói, mas não controla todas as variáveis; responsabilidade compartilhada (poder público, sociedade, empresas e indivíduo); "Saúde mental é, ao mesmo tempo, de cada um e de todos." URL: https://rhpravoce.com.br/colab/riscos-psicossociais-no-ambiente-de-trabalho-2</t>
        </is>
      </c>
      <c r="C3" s="7" t="inlineStr">
        <is>
          <t>Resumo em carrossel, card de citação, link nos stories. Citar só o artigo e o veículo, sem nome do autor. Citações sempre literais.</t>
        </is>
      </c>
      <c r="D3" s="7" t="inlineStr">
        <is>
          <t>Publicado.</t>
        </is>
      </c>
      <c r="E3" s="7" t="inlineStr">
        <is>
          <t>M1-04, M1-12</t>
        </is>
      </c>
    </row>
    <row r="4">
      <c r="A4" s="7" t="inlineStr">
        <is>
          <t>Cliente do setor industrial, 1º semestre de 2026 (uso interno: Chemitec)</t>
        </is>
      </c>
      <c r="B4" s="7" t="inlineStr">
        <is>
          <t>161 atendimentos, 48 colaboradores atendidos (98% de adesão), 81,3% voltaram para 2 ou mais atendimentos, 46 smartbands em uso.</t>
        </is>
      </c>
      <c r="C4" s="7" t="inlineStr">
        <is>
          <t>Sempre agregado e como "uma indústria". Nunca o nome da empresa.</t>
        </is>
      </c>
      <c r="D4" s="7" t="inlineStr">
        <is>
          <t>Liberado (instagram/voice.md).</t>
        </is>
      </c>
      <c r="E4" s="7" t="inlineStr">
        <is>
          <t>M1-09</t>
        </is>
      </c>
    </row>
    <row r="5">
      <c r="A5" s="7" t="inlineStr">
        <is>
          <t>Hospital onde o modelo começou, 2025 (uso interno: Hospital Dia Santo Amaro)</t>
        </is>
      </c>
      <c r="B5" s="7" t="inlineStr">
        <is>
          <t>Reclamações mensais de 34 para cerca de 20 (cerca de 40% a menos); conformidade média de 98,2%; apresentado em congresso internacional.</t>
        </is>
      </c>
      <c r="C5" s="7" t="inlineStr">
        <is>
          <t>História de origem e prova do modelo, sem o nome do hospital.</t>
        </is>
      </c>
      <c r="D5" s="7" t="inlineStr">
        <is>
          <t>Liberado (instagram/voice.md).</t>
        </is>
      </c>
      <c r="E5" s="7" t="inlineStr">
        <is>
          <t>Banco de ideias</t>
        </is>
      </c>
    </row>
    <row r="6">
      <c r="A6" s="7" t="inlineStr">
        <is>
          <t>Harvard Business Review (2022) e SHRM (2023)</t>
        </is>
      </c>
      <c r="B6" s="7" t="inlineStr">
        <is>
          <t>−28% de absenteísmo (HBR 2022); −22% de custos com saúde (SHRM 2023).</t>
        </is>
      </c>
      <c r="C6" s="7" t="inlineStr">
        <is>
          <t>Argumento de retorno, sempre com a fonte. Post próprio em 16/11 (saiu do carrossel "O que é a fairhealth").</t>
        </is>
      </c>
      <c r="D6" s="7" t="inlineStr">
        <is>
          <t>Liberado (instagram/voice.md). Falta confirmar o que cada estudo mediu.</t>
        </is>
      </c>
      <c r="E6" s="7" t="inlineStr">
        <is>
          <t>M2-01</t>
        </is>
      </c>
    </row>
    <row r="7">
      <c r="A7" s="7" t="inlineStr">
        <is>
          <t>ACLM e CBMEV</t>
        </is>
      </c>
      <c r="B7" s="7" t="inlineStr">
        <is>
          <t>Definição de Medicina do Estilo de Vida e seus 6 pilares: alimentação, atividade física, sono, manejo do estresse, relacionamentos e evitar substâncias de risco.</t>
        </is>
      </c>
      <c r="C7" s="7" t="inlineStr">
        <is>
          <t>Base do explicador de MEV.</t>
        </is>
      </c>
      <c r="D7" s="7" t="inlineStr">
        <is>
          <t>Responsável médica confere. Espiritualidade fora (a confirmar).</t>
        </is>
      </c>
      <c r="E7" s="7" t="inlineStr">
        <is>
          <t>M1-05</t>
        </is>
      </c>
    </row>
    <row r="8">
      <c r="A8" s="7" t="inlineStr">
        <is>
          <t>Não usar</t>
        </is>
      </c>
      <c r="B8" s="7" t="inlineStr">
        <is>
          <t>"23% mais caro", "R$ 2.400 por colaborador", "maior índice de burnout" (sem fonte no posicionamento); −27%, "R$ 2,70 por R$ 1" e "70% dos custos do plano"; "validado no SUS" até confirmar.</t>
        </is>
      </c>
      <c r="C8" s="7" t="inlineStr">
        <is>
          <t>—</t>
        </is>
      </c>
      <c r="D8" s="7" t="inlineStr">
        <is>
          <t>Bloqueado até ter fonte.</t>
        </is>
      </c>
      <c r="E8" s="7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  <col width="52" customWidth="1" min="4" max="4"/>
    <col width="30" customWidth="1" min="5" max="5"/>
  </cols>
  <sheetData>
    <row r="1">
      <c r="A1" s="10" t="inlineStr">
        <is>
          <t>Banco de ideias: o que ficou para depois e os próximos meses</t>
        </is>
      </c>
    </row>
    <row r="2">
      <c r="A2" s="11" t="inlineStr">
        <is>
          <t>Ideia</t>
        </is>
      </c>
      <c r="B2" s="11" t="inlineStr">
        <is>
          <t>Origem</t>
        </is>
      </c>
      <c r="C2" s="11" t="inlineStr">
        <is>
          <t>Status</t>
        </is>
      </c>
      <c r="D2" s="11" t="inlineStr">
        <is>
          <t>Motivo / o que destrava</t>
        </is>
      </c>
      <c r="E2" s="11" t="inlineStr">
        <is>
          <t>Próximo uso sugerido</t>
        </is>
      </c>
    </row>
    <row r="3">
      <c r="A3" s="7" t="inlineStr">
        <is>
          <t>Série Quem cuida (apresentação de cada integrante do time)</t>
        </is>
      </c>
      <c r="B3" s="7" t="inlineStr">
        <is>
          <t>Calendário de 90 dias</t>
        </is>
      </c>
      <c r="C3" s="7" t="inlineStr">
        <is>
          <t>Adiada</t>
        </is>
      </c>
      <c r="D3" s="7" t="inlineStr">
        <is>
          <t>Não vamos apresentar o time por agora (questão administrativa). As capas já feitas ficam guardadas em instagram/posts/time.</t>
        </is>
      </c>
      <c r="E3" s="7" t="inlineStr">
        <is>
          <t>Quando a questão for resolvida</t>
        </is>
      </c>
    </row>
    <row r="4">
      <c r="A4" s="7" t="inlineStr">
        <is>
          <t>Um dia no Escritório do Cuidado (vídeo no espaço)</t>
        </is>
      </c>
      <c r="B4" s="7" t="inlineStr">
        <is>
          <t>Calendário de 90 dias (M1-03)</t>
        </is>
      </c>
      <c r="C4" s="7" t="inlineStr">
        <is>
          <t>Adiada</t>
        </is>
      </c>
      <c r="D4" s="7" t="inlineStr">
        <is>
          <t>Não podemos filmar clientes: o espaço fica dentro das empresas-clientes.</t>
        </is>
      </c>
      <c r="E4" s="7" t="inlineStr">
        <is>
          <t>Recriar em local próprio ou em motion</t>
        </is>
      </c>
    </row>
    <row r="5">
      <c r="A5" s="7" t="inlineStr">
        <is>
          <t>Bastidores de uma implantação</t>
        </is>
      </c>
      <c r="B5" s="7" t="inlineStr">
        <is>
          <t>Calendário de 90 dias (M2-01)</t>
        </is>
      </c>
      <c r="C5" s="7" t="inlineStr">
        <is>
          <t>Adiada</t>
        </is>
      </c>
      <c r="D5" s="7" t="inlineStr">
        <is>
          <t>Mesmo motivo: gravação dentro da empresa-cliente.</t>
        </is>
      </c>
      <c r="E5" s="7" t="inlineStr">
        <is>
          <t>Versão em motion, com empresa fictícia</t>
        </is>
      </c>
    </row>
    <row r="6">
      <c r="A6" s="7" t="inlineStr">
        <is>
          <t>Depoimentos em vídeo e por escrito</t>
        </is>
      </c>
      <c r="B6" s="7" t="inlineStr">
        <is>
          <t>Calendário de 90 dias (M2-10, M3-03)</t>
        </is>
      </c>
      <c r="C6" s="7" t="inlineStr">
        <is>
          <t>Adiada</t>
        </is>
      </c>
      <c r="D6" s="7" t="inlineStr">
        <is>
          <t>Não podemos filmar clientes; nunca nomes; limites do CFM para depoimentos.</t>
        </is>
      </c>
      <c r="E6" s="7" t="inlineStr">
        <is>
          <t>Trocar por histórias com personagem fictícia</t>
        </is>
      </c>
    </row>
    <row r="7">
      <c r="A7" s="7" t="inlineStr">
        <is>
          <t>Workshops nos pilares (fotos reais)</t>
        </is>
      </c>
      <c r="B7" s="7" t="inlineStr">
        <is>
          <t>Calendário de 90 dias (M1-06, M2-13)</t>
        </is>
      </c>
      <c r="C7" s="7" t="inlineStr">
        <is>
          <t>Aguardando material</t>
        </is>
      </c>
      <c r="D7" s="7" t="inlineStr">
        <is>
          <t>Fotos de encontros expõem clientes. Possível versão só com materiais e slides do workshop.</t>
        </is>
      </c>
      <c r="E7" s="7" t="inlineStr">
        <is>
          <t>Mês de Ambiente positivo</t>
        </is>
      </c>
    </row>
    <row r="8">
      <c r="A8" s="7" t="inlineStr">
        <is>
          <t>Registro do mês</t>
        </is>
      </c>
      <c r="B8" s="7" t="inlineStr">
        <is>
          <t>Calendário de 90 dias</t>
        </is>
      </c>
      <c r="C8" s="7" t="inlineStr">
        <is>
          <t>Aguardando pauta</t>
        </is>
      </c>
      <c r="D8" s="7" t="inlineStr">
        <is>
          <t>Depende da agenda de eventos e entregas.</t>
        </is>
      </c>
      <c r="E8" s="7" t="inlineStr">
        <is>
          <t>Quando houver evento próprio</t>
        </is>
      </c>
    </row>
    <row r="9">
      <c r="A9" s="7" t="inlineStr">
        <is>
          <t>Checklist "Antes de preencher a planilha: 5 perguntas sobre riscos psicossociais"</t>
        </is>
      </c>
      <c r="B9" s="7" t="inlineStr">
        <is>
          <t>Mês 1 (versão de 09/10)</t>
        </is>
      </c>
      <c r="C9" s="7" t="inlineStr">
        <is>
          <t>Ideia</t>
        </is>
      </c>
      <c r="D9" s="7" t="inlineStr">
        <is>
          <t>Saiu do Mês 1 para dar lugar ao post de ciência do Dia Mundial do Diabetes. Abre bem o mês da NR-1.</t>
        </is>
      </c>
      <c r="E9" s="7" t="inlineStr">
        <is>
          <t>Mês 2, semana 1</t>
        </is>
      </c>
    </row>
    <row r="10">
      <c r="A10" s="7" t="inlineStr">
        <is>
          <t>Série NR-1 (contexto, diagnóstico, cuidado individualizado, acompanhamento, versão para colaboradores)</t>
        </is>
      </c>
      <c r="B10" s="7" t="inlineStr">
        <is>
          <t>Plano mensal (Mês 2)</t>
        </is>
      </c>
      <c r="C10" s="7" t="inlineStr">
        <is>
          <t>Ideia</t>
        </is>
      </c>
      <c r="D10" s="7" t="inlineStr">
        <is>
          <t>Próximo capítulo. O artigo da RH Pra Você já abre o tema. Estudo de Goh, Pfeffer e Zenios (aba Ciência) para o RH.</t>
        </is>
      </c>
      <c r="E10" s="7" t="inlineStr">
        <is>
          <t>Mês 2</t>
        </is>
      </c>
    </row>
    <row r="11">
      <c r="A11" s="7" t="inlineStr">
        <is>
          <t>Série "Ciência no cuidado": um estudo por mês ligado ao pilar ou ao argumento do mês</t>
        </is>
      </c>
      <c r="B11" s="7" t="inlineStr">
        <is>
          <t>Decisão de 09/10</t>
        </is>
      </c>
      <c r="C11" s="7" t="inlineStr">
        <is>
          <t>Ideia</t>
        </is>
      </c>
      <c r="D11" s="7" t="inlineStr">
        <is>
          <t>Estudos na aba Ciência: atividade física e saúde mental (Singh, 2023), relações sociais (Holt-Lunstad, 2010), estressores do trabalho (Goh, 2016), OMS (12 bilhões de dias).</t>
        </is>
      </c>
      <c r="E11" s="7" t="inlineStr">
        <is>
          <t>Todo mês</t>
        </is>
      </c>
    </row>
    <row r="12">
      <c r="A12" s="7" t="inlineStr">
        <is>
          <t>"O que nos diferencia": plano de saúde, plataformas de bem-estar e QVT (3 posts)</t>
        </is>
      </c>
      <c r="B12" s="7" t="inlineStr">
        <is>
          <t>Posicionamento v3.2</t>
        </is>
      </c>
      <c r="C12" s="7" t="inlineStr">
        <is>
          <t>Ideia</t>
        </is>
      </c>
      <c r="D12" s="7" t="inlineStr">
        <is>
          <t>Falar da categoria, sem citar marcas.</t>
        </is>
      </c>
      <c r="E12" s="7" t="inlineStr">
        <is>
          <t>Mês 2 ou 3</t>
        </is>
      </c>
    </row>
    <row r="13">
      <c r="A13" s="7" t="inlineStr">
        <is>
          <t>"Quem cuida também precisa de cuidado" (edição especial para a saúde)</t>
        </is>
      </c>
      <c r="B13" s="7" t="inlineStr">
        <is>
          <t>Posicionamento v3.2 (arenas)</t>
        </is>
      </c>
      <c r="C13" s="7" t="inlineStr">
        <is>
          <t>Ideia</t>
        </is>
      </c>
      <c r="D13" s="7" t="inlineStr">
        <is>
          <t>Liga a origem hospitalar ao cuidado de quem cuida.</t>
        </is>
      </c>
      <c r="E13" s="7" t="inlineStr">
        <is>
          <t>Mês 3</t>
        </is>
      </c>
    </row>
    <row r="14">
      <c r="A14" s="7" t="inlineStr">
        <is>
          <t>Pilares da MEV, um por vez (alimentação, atividade física, manejo do estresse, relacionamentos, evitar substâncias de risco)</t>
        </is>
      </c>
      <c r="B14" s="7" t="inlineStr">
        <is>
          <t>Calendário de 90 dias</t>
        </is>
      </c>
      <c r="C14" s="7" t="inlineStr">
        <is>
          <t>Ideia</t>
        </is>
      </c>
      <c r="D14" s="7" t="inlineStr">
        <is>
          <t>6 pilares, sem espiritualidade (a confirmar). Sono já entra no Mês 1.</t>
        </is>
      </c>
      <c r="E14" s="7" t="inlineStr">
        <is>
          <t>Um pilar por mês</t>
        </is>
      </c>
    </row>
    <row r="15">
      <c r="A15" s="7" t="inlineStr">
        <is>
          <t>Histórias com personagens fictícias (um dia na rotina de quem é cuidado)</t>
        </is>
      </c>
      <c r="B15" s="7" t="inlineStr">
        <is>
          <t>Decisão de 09/10</t>
        </is>
      </c>
      <c r="C15" s="7" t="inlineStr">
        <is>
          <t>Ideia</t>
        </is>
      </c>
      <c r="D15" s="7" t="inlineStr">
        <is>
          <t>Sempre sinalizadas como ilustrativas.</t>
        </is>
      </c>
      <c r="E15" s="7" t="inlineStr">
        <is>
          <t>Todo mês, 1 peça</t>
        </is>
      </c>
    </row>
    <row r="16">
      <c r="A16" s="7" t="inlineStr">
        <is>
          <t>Case do hospital onde o modelo começou (sem o nome)</t>
        </is>
      </c>
      <c r="B16" s="7" t="inlineStr">
        <is>
          <t>voice.md (liberado)</t>
        </is>
      </c>
      <c r="C16" s="7" t="inlineStr">
        <is>
          <t>Ideia</t>
        </is>
      </c>
      <c r="D16" s="7" t="inlineStr">
        <is>
          <t>Prova da origem do modelo.</t>
        </is>
      </c>
      <c r="E16" s="7" t="inlineStr">
        <is>
          <t>Mês de Stop Loss ou de prova</t>
        </is>
      </c>
    </row>
    <row r="17">
      <c r="A17" s="7" t="inlineStr">
        <is>
          <t>Indicadores para o RH (HBR 2022, SHRM 2023)</t>
        </is>
      </c>
      <c r="B17" s="7" t="inlineStr">
        <is>
          <t>voice.md (liberado)</t>
        </is>
      </c>
      <c r="C17" s="7" t="inlineStr">
        <is>
          <t>Pauta proposta</t>
        </is>
      </c>
      <c r="D17" s="7" t="inlineStr">
        <is>
          <t>Virou o post M2-01 "Prevenção também é investimento" (arte pronta, saiu do carrossel "O que é a fairhealth" em 12/10).</t>
        </is>
      </c>
      <c r="E17" s="7" t="inlineStr">
        <is>
          <t>Mês 2, semana 1 (M2-01)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0" customWidth="1" min="4" max="4"/>
    <col width="34" customWidth="1" min="5" max="5"/>
  </cols>
  <sheetData>
    <row r="1">
      <c r="A1" s="10" t="inlineStr">
        <is>
          <t>Linhas editoriais</t>
        </is>
      </c>
    </row>
    <row r="2">
      <c r="A2" s="11" t="inlineStr">
        <is>
          <t>Linha</t>
        </is>
      </c>
      <c r="B2" s="11" t="inlineStr">
        <is>
          <t>O que entra</t>
        </is>
      </c>
      <c r="C2" s="11" t="inlineStr">
        <is>
          <t>Objetivos típicos</t>
        </is>
      </c>
      <c r="D2" s="11" t="inlineStr">
        <is>
          <t>Formatos que funcionam agora</t>
        </is>
      </c>
      <c r="E2" s="11" t="inlineStr">
        <is>
          <t>Peso no mês</t>
        </is>
      </c>
    </row>
    <row r="3">
      <c r="A3" s="7" t="inlineStr">
        <is>
          <t>Institucional</t>
        </is>
      </c>
      <c r="B3" s="7" t="inlineStr">
        <is>
          <t>O que é a Fair Health, por que existe, de onde veio (Escritório do Paciente → Escritório do Cuidado, ecossistema FairJob) e em que acredita ("cuidar antes", "não é benefício, é infraestrutura de cuidado").</t>
        </is>
      </c>
      <c r="C3" s="7" t="inlineStr">
        <is>
          <t>Apresentar, gerar confiança, fixar a tese.</t>
        </is>
      </c>
      <c r="D3" s="7" t="inlineStr">
        <is>
          <t>Tipografia animada, linha do tempo, comparativo, card de pergunta.</t>
        </is>
      </c>
      <c r="E3" s="7" t="inlineStr">
        <is>
          <t>Cerca de 1/3</t>
        </is>
      </c>
    </row>
    <row r="4">
      <c r="A4" s="7" t="inlineStr">
        <is>
          <t>Produto</t>
        </is>
      </c>
      <c r="B4" s="7" t="inlineStr">
        <is>
          <t>Escritório do Cuidado (percurso, sigilo), Medicina do Estilo de Vida e os pilares, plano individualizado, tecnologia e temas do entorno (NR-1, saúde mental) quando a ligação com a oferta é clara.</t>
        </is>
      </c>
      <c r="C4" s="7" t="inlineStr">
        <is>
          <t>Explicar, educar com rigor, tirar dúvidas, levar à conversa comercial.</t>
        </is>
      </c>
      <c r="D4" s="7" t="inlineStr">
        <is>
          <t>Carrossel passo a passo, explicador animado, checklist, dicas com imagem de banco.</t>
        </is>
      </c>
      <c r="E4" s="7" t="inlineStr">
        <is>
          <t>Cerca de 1/3 a 2/5</t>
        </is>
      </c>
    </row>
    <row r="5">
      <c r="A5" s="7" t="inlineStr">
        <is>
          <t>Projetos, eventos e entregas</t>
        </is>
      </c>
      <c r="B5" s="7" t="inlineStr">
        <is>
          <t>O que a Fair Health está fazendo e entregando: números liberados, entregas para o RH, participações na imprensa e em eventos, como chega a uma empresa.</t>
        </is>
      </c>
      <c r="C5" s="7" t="inlineStr">
        <is>
          <t>Provar, mostrar movimento, gerar autoridade.</t>
        </is>
      </c>
      <c r="D5" s="7" t="inlineStr">
        <is>
          <t>Dado animado, gravação de tela, resumo de artigo, card de citação.</t>
        </is>
      </c>
      <c r="E5" s="7" t="inlineStr">
        <is>
          <t>Cerca de 1/4 a 1/3</t>
        </is>
      </c>
    </row>
    <row r="7">
      <c r="A7" s="10" t="inlineStr">
        <is>
          <t>Personas (posicionamento v3.2)</t>
        </is>
      </c>
    </row>
    <row r="8">
      <c r="A8" s="11" t="inlineStr">
        <is>
          <t>Persona</t>
        </is>
      </c>
      <c r="B8" s="11" t="inlineStr">
        <is>
          <t>Quem é</t>
        </is>
      </c>
      <c r="C8" s="11" t="inlineStr">
        <is>
          <t>Dor de entrada</t>
        </is>
      </c>
      <c r="D8" s="11" t="inlineStr">
        <is>
          <t>Como falar</t>
        </is>
      </c>
      <c r="E8" s="11" t="inlineStr">
        <is>
          <t>Cuidados</t>
        </is>
      </c>
    </row>
    <row r="9">
      <c r="A9" s="7" t="inlineStr">
        <is>
          <t>RH</t>
        </is>
      </c>
      <c r="B9" s="7" t="inlineStr">
        <is>
          <t>CHROs, gerentes de pessoas e business partners de empresas de médio e grande porte, principalmente indústria. Público principal.</t>
        </is>
      </c>
      <c r="C9" s="7" t="inlineStr">
        <is>
          <t>Como atender à NR-1 de um jeito que mude algo? Meu programa tem adesão? O que eu recebo? Como começar?</t>
        </is>
      </c>
      <c r="D9" s="7" t="inlineStr">
        <is>
          <t>Assertivo e pragmático, com processo e evidência.</t>
        </is>
      </c>
      <c r="E9" s="7" t="inlineStr">
        <is>
          <t>Números só liberados e com fonte.</t>
        </is>
      </c>
    </row>
    <row r="10">
      <c r="A10" s="7" t="inlineStr">
        <is>
          <t>Lideranças</t>
        </is>
      </c>
      <c r="B10" s="7" t="inlineStr">
        <is>
          <t>Gestores e líderes de equipe.</t>
        </is>
      </c>
      <c r="C10" s="7" t="inlineStr">
        <is>
          <t>Como cuidar do time no dia a dia sem ser médico nem psicólogo?</t>
        </is>
      </c>
      <c r="D10" s="7" t="inlineStr">
        <is>
          <t>Direto, com perguntas práticas.</t>
        </is>
      </c>
      <c r="E10" s="7" t="inlineStr">
        <is>
          <t>Não transferir ao líder a responsabilidade clínica.</t>
        </is>
      </c>
    </row>
    <row r="11">
      <c r="A11" s="7" t="inlineStr">
        <is>
          <t>Colaboradores</t>
        </is>
      </c>
      <c r="B11" s="7" t="inlineStr">
        <is>
          <t>Quem é ou pode ser atendido pelo Escritório do Cuidado.</t>
        </is>
      </c>
      <c r="C11" s="7" t="inlineStr">
        <is>
          <t>Vou ser julgado? O que eu contar fica entre nós? Cabe na minha rotina?</t>
        </is>
      </c>
      <c r="D11" s="7" t="inlineStr">
        <is>
          <t>Acolhedor, em segunda pessoa, sem números de negócio.</t>
        </is>
      </c>
      <c r="E11" s="7" t="inlineStr">
        <is>
          <t>Nunca expor quem é atendido.</t>
        </is>
      </c>
    </row>
    <row r="12">
      <c r="A12" s="7" t="inlineStr">
        <is>
          <t>Medicina do Trabalho</t>
        </is>
      </c>
      <c r="B12" s="7" t="inlineStr">
        <is>
          <t>Médicos do trabalho e equipes de SST.</t>
        </is>
      </c>
      <c r="C12" s="7" t="inlineStr">
        <is>
          <t>Isso substitui ou complementa o que já fazemos?</t>
        </is>
      </c>
      <c r="D12" s="7" t="inlineStr">
        <is>
          <t>Técnico, com fontes e precisão.</t>
        </is>
      </c>
      <c r="E12" s="7" t="inlineStr">
        <is>
          <t>Validação da responsável médica.</t>
        </is>
      </c>
    </row>
    <row r="13">
      <c r="A13" s="7" t="inlineStr">
        <is>
          <t>Risco e Compliance</t>
        </is>
      </c>
      <c r="B13" s="7" t="inlineStr">
        <is>
          <t>Áreas de risco, compliance e jurídico.</t>
        </is>
      </c>
      <c r="C13" s="7" t="inlineStr">
        <is>
          <t>Como documentar e acompanhar os riscos psicossociais?</t>
        </is>
      </c>
      <c r="D13" s="7" t="inlineStr">
        <is>
          <t>Objetivo, com a norma e a fonte.</t>
        </is>
      </c>
      <c r="E13" s="7" t="inlineStr">
        <is>
          <t>Não prometer conformidade.</t>
        </is>
      </c>
    </row>
    <row r="14">
      <c r="A14" s="7" t="inlineStr">
        <is>
          <t>Diretoria financeira</t>
        </is>
      </c>
      <c r="B14" s="7" t="inlineStr">
        <is>
          <t>Diretoria financeira.</t>
        </is>
      </c>
      <c r="C14" s="7" t="inlineStr">
        <is>
          <t>Qual o retorno? O que muda na sinistralidade?</t>
        </is>
      </c>
      <c r="D14" s="7" t="inlineStr">
        <is>
          <t>Indicadores com fonte, sem promessa.</t>
        </is>
      </c>
      <c r="E14" s="7" t="inlineStr">
        <is>
          <t>Argumento de retorno no mês de Stop Loss.</t>
        </is>
      </c>
    </row>
    <row r="15">
      <c r="A15" s="7" t="inlineStr">
        <is>
          <t>RI e C-Level</t>
        </is>
      </c>
      <c r="B15" s="7" t="inlineStr">
        <is>
          <t>C-Level e relações com investidores (ESG).</t>
        </is>
      </c>
      <c r="C15" s="7" t="inlineStr">
        <is>
          <t>Como o cuidado aparece nos indicadores da empresa?</t>
        </is>
      </c>
      <c r="D15" s="7" t="inlineStr">
        <is>
          <t>Estratégico, curto.</t>
        </is>
      </c>
      <c r="E15" s="7" t="inlineStr">
        <is>
          <t>Sem números sem fonte.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  <col width="34" customWidth="1" min="4" max="4"/>
    <col width="30" customWidth="1" min="5" max="5"/>
  </cols>
  <sheetData>
    <row r="1">
      <c r="A1" s="10" t="inlineStr">
        <is>
          <t>Pendências e validações</t>
        </is>
      </c>
    </row>
    <row r="2">
      <c r="A2" s="11" t="inlineStr">
        <is>
          <t>#</t>
        </is>
      </c>
      <c r="B2" s="11" t="inlineStr">
        <is>
          <t>Pendência</t>
        </is>
      </c>
      <c r="C2" s="11" t="inlineStr">
        <is>
          <t>Quem confirma</t>
        </is>
      </c>
      <c r="D2" s="11" t="inlineStr">
        <is>
          <t>Pautas afetadas</t>
        </is>
      </c>
      <c r="E2" s="11" t="inlineStr">
        <is>
          <t>Situação</t>
        </is>
      </c>
    </row>
    <row r="3">
      <c r="A3" s="7" t="n">
        <v>1</v>
      </c>
      <c r="B3" s="7" t="inlineStr">
        <is>
          <t>Questão administrativa que adia a apresentação do time: previsão para retomar a série Quem cuida.</t>
        </is>
      </c>
      <c r="C3" s="7" t="inlineStr">
        <is>
          <t>Sócios</t>
        </is>
      </c>
      <c r="D3" s="7" t="inlineStr">
        <is>
          <t>Banco de ideias</t>
        </is>
      </c>
      <c r="E3" s="7" t="inlineStr">
        <is>
          <t>Aberta</t>
        </is>
      </c>
    </row>
    <row r="4">
      <c r="A4" s="7" t="n">
        <v>2</v>
      </c>
      <c r="B4" s="7" t="inlineStr">
        <is>
          <t>Onde gravar o vídeo de abertura sem time e sem empresa-cliente (local próprio ou neutro) ou montar com fotos e tipografia.</t>
        </is>
      </c>
      <c r="C4" s="7" t="inlineStr">
        <is>
          <t>Comunicação</t>
        </is>
      </c>
      <c r="D4" s="7" t="inlineStr">
        <is>
          <t>M1-01</t>
        </is>
      </c>
      <c r="E4" s="7" t="inlineStr">
        <is>
          <t>Aberta</t>
        </is>
      </c>
    </row>
    <row r="5">
      <c r="A5" s="7" t="n">
        <v>3</v>
      </c>
      <c r="B5" s="7" t="inlineStr">
        <is>
          <t>Assistentes sociais fazem parte do atendimento? (o posicionamento cita médico e psicológico)</t>
        </is>
      </c>
      <c r="C5" s="7" t="inlineStr">
        <is>
          <t>Time Fair Health</t>
        </is>
      </c>
      <c r="D5" s="7" t="inlineStr">
        <is>
          <t>M1-01</t>
        </is>
      </c>
      <c r="E5" s="7" t="inlineStr">
        <is>
          <t>Aberta</t>
        </is>
      </c>
    </row>
    <row r="6">
      <c r="A6" s="7" t="n">
        <v>4</v>
      </c>
      <c r="B6" s="7" t="inlineStr">
        <is>
          <t>Nome da responsável médica que valida o conteúdo clínico e lê os estudos da aba Ciência.</t>
        </is>
      </c>
      <c r="C6" s="7" t="inlineStr">
        <is>
          <t>Time Fair Health</t>
        </is>
      </c>
      <c r="D6" s="7" t="inlineStr">
        <is>
          <t>Todas as pautas com "responsável médica"; M1-13, M1-14, M1-16</t>
        </is>
      </c>
      <c r="E6" s="7" t="inlineStr">
        <is>
          <t>Aberta</t>
        </is>
      </c>
    </row>
    <row r="7">
      <c r="A7" s="7" t="n">
        <v>5</v>
      </c>
      <c r="B7" s="7" t="inlineStr">
        <is>
          <t>Pilares da MEV: 6 (ACLM), sem espiritualidade. Decisão de 09/10, ainda sem certeza.</t>
        </is>
      </c>
      <c r="C7" s="7" t="inlineStr">
        <is>
          <t>Responsável médica + sócios</t>
        </is>
      </c>
      <c r="D7" s="7" t="inlineStr">
        <is>
          <t>M1-05 e série Pilares</t>
        </is>
      </c>
      <c r="E7" s="7" t="inlineStr">
        <is>
          <t>Aberta</t>
        </is>
      </c>
    </row>
    <row r="8">
      <c r="A8" s="7" t="n">
        <v>6</v>
      </c>
      <c r="B8" s="7" t="inlineStr">
        <is>
          <t>Conferir no painel oficial do Ministério da Previdência o número de licenças por transtornos mentais em 2024 (veículos divulgam 440 mil e 472 mil).</t>
        </is>
      </c>
      <c r="C8" s="7" t="inlineStr">
        <is>
          <t>Comunicação</t>
        </is>
      </c>
      <c r="D8" s="7" t="inlineStr">
        <is>
          <t>M1-03</t>
        </is>
      </c>
      <c r="E8" s="7" t="inlineStr">
        <is>
          <t>Aberta</t>
        </is>
      </c>
    </row>
    <row r="9">
      <c r="A9" s="7" t="n">
        <v>7</v>
      </c>
      <c r="B9" s="7" t="inlineStr">
        <is>
          <t>Nome único do plano: Plano Individualizado de Cuidado ou Plano de Cuidado Personalizado (PPC).</t>
        </is>
      </c>
      <c r="C9" s="7" t="inlineStr">
        <is>
          <t>Sócios</t>
        </is>
      </c>
      <c r="D9" s="7" t="inlineStr">
        <is>
          <t>M1-08</t>
        </is>
      </c>
      <c r="E9" s="7" t="inlineStr">
        <is>
          <t>Aberta</t>
        </is>
      </c>
    </row>
    <row r="10">
      <c r="A10" s="7" t="n">
        <v>8</v>
      </c>
      <c r="B10" s="7" t="inlineStr">
        <is>
          <t>Etapas e prazos clínicos: bioimpedância, smartband por 48 h, retorno.</t>
        </is>
      </c>
      <c r="C10" s="7" t="inlineStr">
        <is>
          <t>Responsável médica</t>
        </is>
      </c>
      <c r="D10" s="7" t="inlineStr">
        <is>
          <t>M1-02, M1-08, M1-10</t>
        </is>
      </c>
      <c r="E10" s="7" t="inlineStr">
        <is>
          <t>Aberta</t>
        </is>
      </c>
    </row>
    <row r="11">
      <c r="A11" s="7" t="n">
        <v>9</v>
      </c>
      <c r="B11" s="7" t="inlineStr">
        <is>
          <t>Fonte de "validado no SUS" e datas da história de origem.</t>
        </is>
      </c>
      <c r="C11" s="7" t="inlineStr">
        <is>
          <t>Time Fair Health</t>
        </is>
      </c>
      <c r="D11" s="7" t="inlineStr">
        <is>
          <t>M1-11</t>
        </is>
      </c>
      <c r="E11" s="7" t="inlineStr">
        <is>
          <t>Aberta</t>
        </is>
      </c>
    </row>
    <row r="12">
      <c r="A12" s="7" t="n">
        <v>10</v>
      </c>
      <c r="B12" s="7" t="inlineStr">
        <is>
          <t>Indicadores que entram no relatório do RH (fairdata).</t>
        </is>
      </c>
      <c r="C12" s="7" t="inlineStr">
        <is>
          <t>Time Fair Health + fairdata</t>
        </is>
      </c>
      <c r="D12" s="7" t="inlineStr">
        <is>
          <t>M1-07</t>
        </is>
      </c>
      <c r="E12" s="7" t="inlineStr">
        <is>
          <t>Aberta</t>
        </is>
      </c>
    </row>
    <row r="13">
      <c r="A13" s="7" t="n">
        <v>11</v>
      </c>
      <c r="B13" s="7" t="inlineStr">
        <is>
          <t>Collab no Instagram e LinkedIn pela FairJob: quem publica, quem aceita o convite.</t>
        </is>
      </c>
      <c r="C13" s="7" t="inlineStr">
        <is>
          <t>Comunicação + FairJob</t>
        </is>
      </c>
      <c r="D13" s="7" t="inlineStr">
        <is>
          <t>Todas as pautas</t>
        </is>
      </c>
      <c r="E13" s="7" t="inlineStr">
        <is>
          <t>Aberta</t>
        </is>
      </c>
    </row>
    <row r="14">
      <c r="A14" s="7" t="n">
        <v>12</v>
      </c>
      <c r="B14" s="7" t="inlineStr">
        <is>
          <t>O que mediram os estudos de −28% de absenteísmo (Harvard Business Review, 2022) e −22% de custos com saúde (SHRM, 2023): tipo de programa e população.</t>
        </is>
      </c>
      <c r="C14" s="7" t="inlineStr">
        <is>
          <t>Comunicação + responsável médica</t>
        </is>
      </c>
      <c r="D14" s="7" t="inlineStr">
        <is>
          <t>M2-01</t>
        </is>
      </c>
      <c r="E14" s="7" t="inlineStr">
        <is>
          <t>Aberta</t>
        </is>
      </c>
    </row>
    <row r="15">
      <c r="A15" s="7" t="n">
        <v>13</v>
      </c>
      <c r="B15" s="7" t="inlineStr">
        <is>
          <t>Destino do link e da chamada CUIDADO (www.fairhealth.com.br) e quem responde comentários e DMs.</t>
        </is>
      </c>
      <c r="C15" s="7" t="inlineStr">
        <is>
          <t>Comunicação</t>
        </is>
      </c>
      <c r="D15" s="7" t="inlineStr">
        <is>
          <t>M1-06, M1-15</t>
        </is>
      </c>
      <c r="E15" s="7" t="inlineStr">
        <is>
          <t>Aberta</t>
        </is>
      </c>
    </row>
    <row r="16">
      <c r="A16" s="7" t="n">
        <v>14</v>
      </c>
      <c r="B16" s="7" t="inlineStr">
        <is>
          <t>Texto, prazos e obrigações da NR-1 com fonte oficial; aprovação da posição [SUGESTÃO] 1 do voice.md.</t>
        </is>
      </c>
      <c r="C16" s="7" t="inlineStr">
        <is>
          <t>Responsável médica + sócios</t>
        </is>
      </c>
      <c r="D16" s="7" t="inlineStr">
        <is>
          <t>Banco de ideias (checklist NR-1)</t>
        </is>
      </c>
      <c r="E16" s="7" t="inlineStr">
        <is>
          <t>Aberta</t>
        </is>
      </c>
    </row>
    <row r="17">
      <c r="A17" s="7" t="n">
        <v>15</v>
      </c>
      <c r="B17" s="7" t="inlineStr">
        <is>
          <t>Fontes dos números do posicionamento (23%, R$ 2.400, burnout).</t>
        </is>
      </c>
      <c r="C17" s="7" t="inlineStr">
        <is>
          <t>Sócios</t>
        </is>
      </c>
      <c r="D17" s="7" t="inlineStr">
        <is>
          <t>Fontes</t>
        </is>
      </c>
      <c r="E17" s="7" t="inlineStr">
        <is>
          <t>Aberta</t>
        </is>
      </c>
    </row>
    <row r="18">
      <c r="A18" s="7" t="n">
        <v>16</v>
      </c>
      <c r="B18" s="7" t="inlineStr">
        <is>
          <t>Crédito do autor do artigo da RH Pra Você.</t>
        </is>
      </c>
      <c r="C18" s="7" t="inlineStr">
        <is>
          <t>Comunicação</t>
        </is>
      </c>
      <c r="D18" s="7" t="inlineStr">
        <is>
          <t>M1-04, M1-12</t>
        </is>
      </c>
      <c r="E18" s="7" t="inlineStr">
        <is>
          <t>Resolvida em 09/10: citar só o artigo e o veículo, sem nome.</t>
        </is>
      </c>
    </row>
    <row r="19">
      <c r="A19" s="7" t="n">
        <v>17</v>
      </c>
      <c r="B19" s="7" t="inlineStr">
        <is>
          <t>Números no Mês 1 e nome do cliente industrial.</t>
        </is>
      </c>
      <c r="C19" s="7" t="inlineStr">
        <is>
          <t>Sócios</t>
        </is>
      </c>
      <c r="D19" s="7" t="inlineStr">
        <is>
          <t>M1-09</t>
        </is>
      </c>
      <c r="E19" s="7" t="inlineStr">
        <is>
          <t>Resolvida em 09/10: números sim, com suavidade; nunca o nome do cliente.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8" t="inlineStr">
        <is>
          <t>Linha editorial</t>
        </is>
      </c>
      <c r="B1" s="18" t="inlineStr">
        <is>
          <t>Formato</t>
        </is>
      </c>
      <c r="C1" s="18" t="inlineStr">
        <is>
          <t>Canal</t>
        </is>
      </c>
      <c r="D1" s="18" t="inlineStr">
        <is>
          <t>Status</t>
        </is>
      </c>
      <c r="E1" s="18" t="inlineStr">
        <is>
          <t>Mês</t>
        </is>
      </c>
      <c r="F1" s="18" t="inlineStr">
        <is>
          <t>Argumento</t>
        </is>
      </c>
      <c r="G1" s="18" t="inlineStr">
        <is>
          <t>Cena</t>
        </is>
      </c>
      <c r="H1" s="18" t="inlineStr">
        <is>
          <t>Persona</t>
        </is>
      </c>
    </row>
    <row r="2">
      <c r="A2" s="15" t="inlineStr">
        <is>
          <t>Institucional</t>
        </is>
      </c>
      <c r="B2" s="15" t="inlineStr">
        <is>
          <t>Vídeo</t>
        </is>
      </c>
      <c r="C2" s="15" t="inlineStr">
        <is>
          <t>Instagram + LinkedIn</t>
        </is>
      </c>
      <c r="D2" s="15" t="inlineStr">
        <is>
          <t>Ideia</t>
        </is>
      </c>
      <c r="E2" s="15" t="inlineStr">
        <is>
          <t>Mês 1</t>
        </is>
      </c>
      <c r="F2" s="15" t="inlineStr">
        <is>
          <t>Apresentação</t>
        </is>
      </c>
      <c r="G2" s="15" t="inlineStr">
        <is>
          <t>Abertura</t>
        </is>
      </c>
      <c r="H2" s="15" t="inlineStr">
        <is>
          <t>RH</t>
        </is>
      </c>
    </row>
    <row r="3">
      <c r="A3" s="15" t="inlineStr">
        <is>
          <t>Produto</t>
        </is>
      </c>
      <c r="B3" s="15" t="inlineStr">
        <is>
          <t>Carrossel</t>
        </is>
      </c>
      <c r="C3" s="15" t="inlineStr">
        <is>
          <t>Instagram</t>
        </is>
      </c>
      <c r="D3" s="15" t="inlineStr">
        <is>
          <t>Pauta proposta</t>
        </is>
      </c>
      <c r="E3" s="15" t="inlineStr">
        <is>
          <t>Mês 2</t>
        </is>
      </c>
      <c r="F3" s="15" t="inlineStr">
        <is>
          <t>Liderança Bem-Estar</t>
        </is>
      </c>
      <c r="G3" s="15" t="inlineStr">
        <is>
          <t>Dor</t>
        </is>
      </c>
      <c r="H3" s="15" t="inlineStr">
        <is>
          <t>Lideranças</t>
        </is>
      </c>
    </row>
    <row r="4">
      <c r="A4" s="15" t="inlineStr">
        <is>
          <t>Projetos, eventos e entregas</t>
        </is>
      </c>
      <c r="B4" s="15" t="inlineStr">
        <is>
          <t>Foto única</t>
        </is>
      </c>
      <c r="C4" s="15" t="inlineStr">
        <is>
          <t>Instagram Stories</t>
        </is>
      </c>
      <c r="D4" s="15" t="inlineStr">
        <is>
          <t>Pauta aprovada</t>
        </is>
      </c>
      <c r="E4" s="15" t="inlineStr">
        <is>
          <t>Mês 3</t>
        </is>
      </c>
      <c r="F4" s="15" t="inlineStr">
        <is>
          <t>NR-1</t>
        </is>
      </c>
      <c r="G4" s="15" t="inlineStr">
        <is>
          <t>Virada</t>
        </is>
      </c>
      <c r="H4" s="15" t="inlineStr">
        <is>
          <t>Colaboradores</t>
        </is>
      </c>
    </row>
    <row r="5">
      <c r="B5" s="15" t="inlineStr">
        <is>
          <t>Stories</t>
        </is>
      </c>
      <c r="C5" s="15" t="inlineStr">
        <is>
          <t>LinkedIn</t>
        </is>
      </c>
      <c r="D5" s="15" t="inlineStr">
        <is>
          <t>Aguardando material</t>
        </is>
      </c>
      <c r="E5" s="15" t="inlineStr">
        <is>
          <t>Mês 4</t>
        </is>
      </c>
      <c r="F5" s="15" t="inlineStr">
        <is>
          <t>Stop Loss</t>
        </is>
      </c>
      <c r="G5" s="15" t="inlineStr">
        <is>
          <t>Prova</t>
        </is>
      </c>
      <c r="H5" s="15" t="inlineStr">
        <is>
          <t>Medicina do Trabalho</t>
        </is>
      </c>
    </row>
    <row r="6">
      <c r="D6" s="15" t="inlineStr">
        <is>
          <t>Aguardando pauta</t>
        </is>
      </c>
      <c r="E6" s="15" t="inlineStr">
        <is>
          <t>Mês 5</t>
        </is>
      </c>
      <c r="F6" s="15" t="inlineStr">
        <is>
          <t>Ambiente positivo</t>
        </is>
      </c>
      <c r="G6" s="15" t="inlineStr">
        <is>
          <t>Convite</t>
        </is>
      </c>
      <c r="H6" s="15" t="inlineStr">
        <is>
          <t>Risco e Compliance</t>
        </is>
      </c>
    </row>
    <row r="7">
      <c r="D7" s="15" t="inlineStr">
        <is>
          <t>Roteiro pronto</t>
        </is>
      </c>
      <c r="E7" s="15" t="inlineStr">
        <is>
          <t>Mês 6</t>
        </is>
      </c>
      <c r="F7" s="15" t="inlineStr">
        <is>
          <t>Marca empregadora</t>
        </is>
      </c>
      <c r="H7" s="15" t="inlineStr">
        <is>
          <t>Diretoria financeira</t>
        </is>
      </c>
    </row>
    <row r="8">
      <c r="D8" s="15" t="inlineStr">
        <is>
          <t>Em produção</t>
        </is>
      </c>
      <c r="E8" s="15" t="inlineStr">
        <is>
          <t>Mês 7</t>
        </is>
      </c>
      <c r="H8" s="15" t="inlineStr">
        <is>
          <t>RI e C-Level</t>
        </is>
      </c>
    </row>
    <row r="9">
      <c r="D9" s="15" t="inlineStr">
        <is>
          <t>Em revisão</t>
        </is>
      </c>
      <c r="E9" s="15" t="inlineStr">
        <is>
          <t>Mês 8</t>
        </is>
      </c>
    </row>
    <row r="10">
      <c r="D10" s="15" t="inlineStr">
        <is>
          <t>Validação médica</t>
        </is>
      </c>
      <c r="E10" s="15" t="inlineStr">
        <is>
          <t>Mês 9</t>
        </is>
      </c>
    </row>
    <row r="11">
      <c r="D11" s="15" t="inlineStr">
        <is>
          <t>Aprovado</t>
        </is>
      </c>
      <c r="E11" s="15" t="inlineStr">
        <is>
          <t>Mês 10</t>
        </is>
      </c>
    </row>
    <row r="12">
      <c r="D12" s="15" t="inlineStr">
        <is>
          <t>Agendado</t>
        </is>
      </c>
      <c r="E12" s="15" t="inlineStr">
        <is>
          <t>Mês 11</t>
        </is>
      </c>
    </row>
    <row r="13">
      <c r="D13" s="15" t="inlineStr">
        <is>
          <t>Publicado</t>
        </is>
      </c>
      <c r="E13" s="15" t="inlineStr">
        <is>
          <t>Mês 12</t>
        </is>
      </c>
    </row>
    <row r="14">
      <c r="D14" s="15" t="inlineStr">
        <is>
          <t>Descartada</t>
        </is>
      </c>
    </row>
    <row r="15">
      <c r="D15" s="15" t="inlineStr">
        <is>
          <t>Adiada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2026-10-12T23:03:16Z</dcterms:created>
  <dcterms:modified xsi:type="dcterms:W3CDTF">2026-10-12T23:03:16Z</dcterms:modified>
</cp:coreProperties>
</file>